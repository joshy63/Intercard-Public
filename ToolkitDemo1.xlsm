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/>
  <bookViews>
    <workbookView showSheetTabs="0" xWindow="-120" yWindow="-120" windowWidth="29040" windowHeight="15840"/>
  </bookViews>
  <sheets>
    <sheet name="Main" sheetId="1" r:id="rId1"/>
    <sheet name="Readers" sheetId="2" state="hidden" r:id="rId2"/>
  </sheets>
  <functionGroups builtInGroupCount="17"/>
  <calcPr calcId="1456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8" i="1" l="1"/>
  <c r="AO8" i="1" l="1"/>
  <c r="M144" i="1" s="1"/>
  <c r="AN8" i="1"/>
  <c r="M143" i="1" s="1"/>
  <c r="AM8" i="1"/>
  <c r="M142" i="1" s="1"/>
  <c r="AL8" i="1"/>
  <c r="M141" i="1" s="1"/>
  <c r="AK8" i="1"/>
  <c r="M140" i="1" s="1"/>
  <c r="AJ8" i="1"/>
  <c r="M317" i="1" s="1"/>
  <c r="AI8" i="1"/>
  <c r="M316" i="1" s="1"/>
  <c r="AH8" i="1"/>
  <c r="M315" i="1" s="1"/>
  <c r="AG8" i="1"/>
  <c r="M314" i="1" s="1"/>
  <c r="AF8" i="1"/>
  <c r="M313" i="1" s="1"/>
  <c r="AE8" i="1"/>
  <c r="M134" i="1" s="1"/>
  <c r="AD8" i="1"/>
  <c r="M133" i="1" s="1"/>
  <c r="AC8" i="1"/>
  <c r="M132" i="1" s="1"/>
  <c r="AB8" i="1"/>
  <c r="M131" i="1" s="1"/>
  <c r="AA8" i="1"/>
  <c r="M130" i="1" s="1"/>
  <c r="Z8" i="1"/>
  <c r="M129" i="1" s="1"/>
  <c r="Y8" i="1"/>
  <c r="M128" i="1" s="1"/>
  <c r="X8" i="1"/>
  <c r="M305" i="1" s="1"/>
  <c r="W8" i="1"/>
  <c r="M126" i="1" s="1"/>
  <c r="V8" i="1"/>
  <c r="M303" i="1" s="1"/>
  <c r="U8" i="1"/>
  <c r="M302" i="1" s="1"/>
  <c r="T8" i="1"/>
  <c r="S8" i="1"/>
  <c r="M122" i="1" s="1"/>
  <c r="R8" i="1"/>
  <c r="M121" i="1" s="1"/>
  <c r="M120" i="1"/>
  <c r="M123" i="1" l="1"/>
  <c r="M12" i="1"/>
  <c r="M310" i="1"/>
  <c r="M311" i="1"/>
  <c r="M312" i="1"/>
  <c r="M135" i="1"/>
  <c r="M136" i="1"/>
  <c r="M137" i="1"/>
  <c r="M138" i="1"/>
  <c r="M139" i="1"/>
  <c r="M306" i="1"/>
  <c r="M307" i="1"/>
  <c r="M124" i="1"/>
  <c r="M308" i="1"/>
  <c r="M125" i="1"/>
  <c r="M309" i="1"/>
  <c r="M127" i="1"/>
  <c r="M304" i="1"/>
  <c r="AP8" i="1"/>
  <c r="AP9" i="1"/>
  <c r="AP10" i="1"/>
  <c r="AP11" i="1"/>
  <c r="AP12" i="1"/>
  <c r="AP13" i="1"/>
  <c r="AP14" i="1"/>
  <c r="AP15" i="1"/>
  <c r="AP16" i="1"/>
  <c r="AP17" i="1"/>
  <c r="AP18" i="1"/>
  <c r="AP19" i="1"/>
  <c r="AP20" i="1"/>
  <c r="AP21" i="1"/>
  <c r="AP22" i="1"/>
  <c r="AP23" i="1"/>
  <c r="AP24" i="1"/>
  <c r="AP25" i="1"/>
  <c r="AP26" i="1"/>
  <c r="AP27" i="1"/>
  <c r="AP28" i="1"/>
  <c r="AP29" i="1"/>
  <c r="AP30" i="1"/>
  <c r="AP31" i="1"/>
  <c r="AP32" i="1"/>
  <c r="AP33" i="1"/>
  <c r="AP34" i="1"/>
  <c r="AP35" i="1"/>
  <c r="AP36" i="1"/>
  <c r="AP37" i="1"/>
  <c r="AP38" i="1"/>
  <c r="AP39" i="1"/>
  <c r="AP40" i="1"/>
  <c r="AP41" i="1"/>
  <c r="AP42" i="1"/>
  <c r="AP43" i="1"/>
  <c r="AP44" i="1"/>
  <c r="AP45" i="1"/>
  <c r="AP46" i="1"/>
  <c r="AP47" i="1"/>
  <c r="AP48" i="1"/>
  <c r="AP49" i="1"/>
  <c r="AP50" i="1"/>
  <c r="AP51" i="1"/>
  <c r="AP52" i="1"/>
  <c r="AP53" i="1"/>
  <c r="AP54" i="1"/>
  <c r="AP55" i="1"/>
  <c r="AP56" i="1"/>
  <c r="AP57" i="1"/>
  <c r="AP58" i="1"/>
  <c r="AP59" i="1"/>
  <c r="AP60" i="1"/>
  <c r="AP61" i="1"/>
  <c r="AP62" i="1"/>
  <c r="AP63" i="1"/>
  <c r="AP64" i="1"/>
  <c r="AP65" i="1"/>
  <c r="AP66" i="1"/>
  <c r="AP67" i="1"/>
  <c r="AP68" i="1"/>
  <c r="AP69" i="1"/>
  <c r="AP70" i="1"/>
  <c r="AP71" i="1"/>
  <c r="AP72" i="1"/>
  <c r="AP73" i="1"/>
  <c r="AP74" i="1"/>
  <c r="AP75" i="1"/>
  <c r="AP76" i="1"/>
  <c r="AP77" i="1"/>
  <c r="AP78" i="1"/>
  <c r="AP79" i="1"/>
  <c r="AP80" i="1"/>
  <c r="AP81" i="1"/>
  <c r="AP82" i="1"/>
  <c r="AP83" i="1"/>
  <c r="AP84" i="1"/>
  <c r="AP85" i="1"/>
  <c r="AP86" i="1"/>
  <c r="AP87" i="1"/>
  <c r="AP88" i="1"/>
  <c r="AP89" i="1"/>
  <c r="AP90" i="1"/>
  <c r="AP91" i="1"/>
  <c r="AP92" i="1"/>
  <c r="AP93" i="1"/>
  <c r="AP94" i="1"/>
  <c r="AP95" i="1"/>
  <c r="AP96" i="1"/>
  <c r="AP97" i="1"/>
  <c r="AP98" i="1"/>
  <c r="AP99" i="1"/>
  <c r="AA104" i="2" l="1"/>
  <c r="AB104" i="2"/>
  <c r="AA105" i="2"/>
  <c r="AB105" i="2"/>
  <c r="AA106" i="2"/>
  <c r="AB106" i="2"/>
  <c r="AA107" i="2"/>
  <c r="AB107" i="2"/>
  <c r="AA108" i="2"/>
  <c r="AB108" i="2"/>
  <c r="AA109" i="2"/>
  <c r="AB109" i="2"/>
  <c r="AA110" i="2"/>
  <c r="AB110" i="2"/>
  <c r="AA111" i="2"/>
  <c r="AB111" i="2"/>
  <c r="AA112" i="2"/>
  <c r="AB112" i="2"/>
  <c r="AA113" i="2"/>
  <c r="AB113" i="2"/>
  <c r="AA114" i="2"/>
  <c r="AB114" i="2"/>
  <c r="AA115" i="2"/>
  <c r="AB115" i="2"/>
  <c r="AA116" i="2"/>
  <c r="AB116" i="2"/>
  <c r="AA117" i="2"/>
  <c r="AB117" i="2"/>
  <c r="AA118" i="2"/>
  <c r="AB118" i="2"/>
  <c r="AA119" i="2"/>
  <c r="AB119" i="2"/>
  <c r="AA120" i="2"/>
  <c r="AB120" i="2"/>
  <c r="AA121" i="2"/>
  <c r="AB121" i="2"/>
  <c r="AA122" i="2"/>
  <c r="AB122" i="2"/>
  <c r="AA123" i="2"/>
  <c r="AB123" i="2"/>
  <c r="AA124" i="2"/>
  <c r="AB124" i="2"/>
  <c r="AA125" i="2"/>
  <c r="AB125" i="2"/>
  <c r="AA126" i="2"/>
  <c r="AB126" i="2"/>
  <c r="AA127" i="2"/>
  <c r="AB127" i="2"/>
  <c r="AA128" i="2"/>
  <c r="AB128" i="2"/>
  <c r="AA129" i="2"/>
  <c r="AB129" i="2"/>
  <c r="AA130" i="2"/>
  <c r="AB130" i="2"/>
  <c r="AA131" i="2"/>
  <c r="AB131" i="2"/>
  <c r="AA132" i="2"/>
  <c r="AB132" i="2"/>
  <c r="AA133" i="2"/>
  <c r="AB133" i="2"/>
  <c r="AA134" i="2"/>
  <c r="AB134" i="2"/>
  <c r="AA135" i="2"/>
  <c r="AB135" i="2"/>
  <c r="AA136" i="2"/>
  <c r="AB136" i="2"/>
  <c r="AA137" i="2"/>
  <c r="AB137" i="2"/>
  <c r="AA138" i="2"/>
  <c r="AB138" i="2"/>
  <c r="AA139" i="2"/>
  <c r="AB139" i="2"/>
  <c r="AA140" i="2"/>
  <c r="AB140" i="2"/>
  <c r="AA141" i="2"/>
  <c r="AB141" i="2"/>
  <c r="AA142" i="2"/>
  <c r="AB142" i="2"/>
  <c r="AA143" i="2"/>
  <c r="AB143" i="2"/>
  <c r="AA144" i="2"/>
  <c r="AB144" i="2"/>
  <c r="AA145" i="2"/>
  <c r="AB145" i="2"/>
  <c r="AA146" i="2"/>
  <c r="AB146" i="2"/>
  <c r="AA147" i="2"/>
  <c r="AB147" i="2"/>
  <c r="AA148" i="2"/>
  <c r="AB148" i="2"/>
  <c r="AA149" i="2"/>
  <c r="AB149" i="2"/>
  <c r="AA150" i="2"/>
  <c r="AB150" i="2"/>
  <c r="AA151" i="2"/>
  <c r="AB151" i="2"/>
  <c r="AA152" i="2"/>
  <c r="AB152" i="2"/>
  <c r="AA153" i="2"/>
  <c r="AB153" i="2"/>
  <c r="AA154" i="2"/>
  <c r="AB154" i="2"/>
  <c r="AA155" i="2"/>
  <c r="AB155" i="2"/>
  <c r="AA156" i="2"/>
  <c r="AB156" i="2"/>
  <c r="AA157" i="2"/>
  <c r="AB157" i="2"/>
  <c r="AA158" i="2"/>
  <c r="AB158" i="2"/>
  <c r="AA159" i="2"/>
  <c r="AB159" i="2"/>
  <c r="AA160" i="2"/>
  <c r="AB160" i="2"/>
  <c r="AA161" i="2"/>
  <c r="AB161" i="2"/>
  <c r="AA162" i="2"/>
  <c r="AB162" i="2"/>
  <c r="AA163" i="2"/>
  <c r="AB163" i="2"/>
  <c r="AA164" i="2"/>
  <c r="AB164" i="2"/>
  <c r="AA165" i="2"/>
  <c r="AB165" i="2"/>
  <c r="AA166" i="2"/>
  <c r="AB166" i="2"/>
  <c r="AA167" i="2"/>
  <c r="AB167" i="2"/>
  <c r="AA168" i="2"/>
  <c r="AB168" i="2"/>
  <c r="AA169" i="2"/>
  <c r="AB169" i="2"/>
  <c r="AA170" i="2"/>
  <c r="AB170" i="2"/>
  <c r="AA171" i="2"/>
  <c r="AB171" i="2"/>
  <c r="AA172" i="2"/>
  <c r="AB172" i="2"/>
  <c r="AA173" i="2"/>
  <c r="AB173" i="2"/>
  <c r="AA174" i="2"/>
  <c r="AB174" i="2"/>
  <c r="AA175" i="2"/>
  <c r="AB175" i="2"/>
  <c r="AA176" i="2"/>
  <c r="AB176" i="2"/>
  <c r="AA177" i="2"/>
  <c r="AB177" i="2"/>
  <c r="AA178" i="2"/>
  <c r="AB178" i="2"/>
  <c r="AA179" i="2"/>
  <c r="AB179" i="2"/>
  <c r="AA180" i="2"/>
  <c r="AB180" i="2"/>
  <c r="AA181" i="2"/>
  <c r="AB181" i="2"/>
  <c r="AA182" i="2"/>
  <c r="AB182" i="2"/>
  <c r="AA183" i="2"/>
  <c r="AB183" i="2"/>
  <c r="AA184" i="2"/>
  <c r="AB184" i="2"/>
  <c r="AA185" i="2"/>
  <c r="AB185" i="2"/>
  <c r="AA186" i="2"/>
  <c r="AB186" i="2"/>
  <c r="AA187" i="2"/>
  <c r="AB187" i="2"/>
  <c r="AA188" i="2"/>
  <c r="AB188" i="2"/>
  <c r="AA189" i="2"/>
  <c r="AB189" i="2"/>
  <c r="AA190" i="2"/>
  <c r="AB190" i="2"/>
  <c r="AA191" i="2"/>
  <c r="AB191" i="2"/>
  <c r="AA192" i="2"/>
  <c r="AB192" i="2"/>
  <c r="AA193" i="2"/>
  <c r="AB193" i="2"/>
  <c r="AA194" i="2"/>
  <c r="AB194" i="2"/>
  <c r="AA195" i="2"/>
  <c r="AB195" i="2"/>
  <c r="AB103" i="2"/>
  <c r="AA103" i="2"/>
  <c r="AI12" i="2" l="1"/>
  <c r="AJ12" i="2"/>
  <c r="AK12" i="2"/>
  <c r="AL12" i="2"/>
  <c r="AM12" i="2"/>
  <c r="AN12" i="2"/>
  <c r="AO12" i="2"/>
  <c r="AP12" i="2"/>
  <c r="AQ12" i="2"/>
  <c r="AR12" i="2"/>
  <c r="AS12" i="2"/>
  <c r="AT12" i="2"/>
  <c r="AU12" i="2"/>
  <c r="AV12" i="2"/>
  <c r="AW12" i="2"/>
  <c r="AX12" i="2"/>
  <c r="AY12" i="2"/>
  <c r="AZ12" i="2"/>
  <c r="BA12" i="2"/>
  <c r="BB12" i="2"/>
  <c r="BC12" i="2"/>
  <c r="BD12" i="2"/>
  <c r="BE12" i="2"/>
  <c r="BF12" i="2"/>
  <c r="BG12" i="2"/>
  <c r="BH12" i="2"/>
  <c r="BI12" i="2"/>
  <c r="BJ12" i="2"/>
  <c r="BK12" i="2"/>
  <c r="BL12" i="2"/>
  <c r="BM12" i="2"/>
  <c r="BN12" i="2"/>
  <c r="BO12" i="2"/>
  <c r="BP12" i="2"/>
  <c r="BQ12" i="2"/>
  <c r="BR12" i="2"/>
  <c r="BS12" i="2"/>
  <c r="BT12" i="2"/>
  <c r="BU12" i="2"/>
  <c r="BV12" i="2"/>
  <c r="BW12" i="2"/>
  <c r="BX12" i="2"/>
  <c r="AI13" i="2"/>
  <c r="AJ13" i="2"/>
  <c r="AK13" i="2"/>
  <c r="AL13" i="2"/>
  <c r="AM13" i="2"/>
  <c r="AN13" i="2"/>
  <c r="AO13" i="2"/>
  <c r="AP13" i="2"/>
  <c r="AQ13" i="2"/>
  <c r="AR13" i="2"/>
  <c r="AS13" i="2"/>
  <c r="AT13" i="2"/>
  <c r="AU13" i="2"/>
  <c r="AV13" i="2"/>
  <c r="AW13" i="2"/>
  <c r="AX13" i="2"/>
  <c r="AY13" i="2"/>
  <c r="AZ13" i="2"/>
  <c r="BA13" i="2"/>
  <c r="BB13" i="2"/>
  <c r="BC13" i="2"/>
  <c r="BD13" i="2"/>
  <c r="BE13" i="2"/>
  <c r="BF13" i="2"/>
  <c r="BG13" i="2"/>
  <c r="BH13" i="2"/>
  <c r="BI13" i="2"/>
  <c r="BJ13" i="2"/>
  <c r="BK13" i="2"/>
  <c r="BL13" i="2"/>
  <c r="BM13" i="2"/>
  <c r="BN13" i="2"/>
  <c r="BO13" i="2"/>
  <c r="BP13" i="2"/>
  <c r="BQ13" i="2"/>
  <c r="BR13" i="2"/>
  <c r="BS13" i="2"/>
  <c r="BT13" i="2"/>
  <c r="BU13" i="2"/>
  <c r="BV13" i="2"/>
  <c r="BW13" i="2"/>
  <c r="BX13" i="2"/>
  <c r="AI14" i="2"/>
  <c r="AJ14" i="2"/>
  <c r="AK14" i="2"/>
  <c r="AL14" i="2"/>
  <c r="AM14" i="2"/>
  <c r="AN14" i="2"/>
  <c r="AO14" i="2"/>
  <c r="AP14" i="2"/>
  <c r="AQ14" i="2"/>
  <c r="AR14" i="2"/>
  <c r="AS14" i="2"/>
  <c r="AT14" i="2"/>
  <c r="AU14" i="2"/>
  <c r="AV14" i="2"/>
  <c r="AW14" i="2"/>
  <c r="AX14" i="2"/>
  <c r="AY14" i="2"/>
  <c r="AZ14" i="2"/>
  <c r="BA14" i="2"/>
  <c r="BB14" i="2"/>
  <c r="BC14" i="2"/>
  <c r="BD14" i="2"/>
  <c r="BE14" i="2"/>
  <c r="BF14" i="2"/>
  <c r="BG14" i="2"/>
  <c r="BH14" i="2"/>
  <c r="BI14" i="2"/>
  <c r="BJ14" i="2"/>
  <c r="BK14" i="2"/>
  <c r="BL14" i="2"/>
  <c r="BM14" i="2"/>
  <c r="BN14" i="2"/>
  <c r="BO14" i="2"/>
  <c r="BP14" i="2"/>
  <c r="BQ14" i="2"/>
  <c r="BR14" i="2"/>
  <c r="BS14" i="2"/>
  <c r="BT14" i="2"/>
  <c r="BU14" i="2"/>
  <c r="BV14" i="2"/>
  <c r="BW14" i="2"/>
  <c r="BX14" i="2"/>
  <c r="AI15" i="2"/>
  <c r="AJ15" i="2"/>
  <c r="AK15" i="2"/>
  <c r="AL15" i="2"/>
  <c r="AM15" i="2"/>
  <c r="AN15" i="2"/>
  <c r="AO15" i="2"/>
  <c r="AP15" i="2"/>
  <c r="AQ15" i="2"/>
  <c r="AR15" i="2"/>
  <c r="AS15" i="2"/>
  <c r="AT15" i="2"/>
  <c r="AU15" i="2"/>
  <c r="AV15" i="2"/>
  <c r="AW15" i="2"/>
  <c r="AX15" i="2"/>
  <c r="AY15" i="2"/>
  <c r="AZ15" i="2"/>
  <c r="BA15" i="2"/>
  <c r="BB15" i="2"/>
  <c r="BC15" i="2"/>
  <c r="BD15" i="2"/>
  <c r="BE15" i="2"/>
  <c r="BF15" i="2"/>
  <c r="BG15" i="2"/>
  <c r="BH15" i="2"/>
  <c r="BI15" i="2"/>
  <c r="BJ15" i="2"/>
  <c r="BK15" i="2"/>
  <c r="BL15" i="2"/>
  <c r="BM15" i="2"/>
  <c r="BN15" i="2"/>
  <c r="BO15" i="2"/>
  <c r="BP15" i="2"/>
  <c r="BQ15" i="2"/>
  <c r="BR15" i="2"/>
  <c r="BS15" i="2"/>
  <c r="BT15" i="2"/>
  <c r="BU15" i="2"/>
  <c r="BV15" i="2"/>
  <c r="BW15" i="2"/>
  <c r="BX15" i="2"/>
  <c r="AI16" i="2"/>
  <c r="AJ16" i="2"/>
  <c r="AK16" i="2"/>
  <c r="AL16" i="2"/>
  <c r="AM16" i="2"/>
  <c r="AN16" i="2"/>
  <c r="AO16" i="2"/>
  <c r="AP16" i="2"/>
  <c r="AQ16" i="2"/>
  <c r="AR16" i="2"/>
  <c r="AS16" i="2"/>
  <c r="AT16" i="2"/>
  <c r="AU16" i="2"/>
  <c r="AV16" i="2"/>
  <c r="AW16" i="2"/>
  <c r="AX16" i="2"/>
  <c r="AY16" i="2"/>
  <c r="AZ16" i="2"/>
  <c r="BA16" i="2"/>
  <c r="BB16" i="2"/>
  <c r="BC16" i="2"/>
  <c r="BD16" i="2"/>
  <c r="BE16" i="2"/>
  <c r="BF16" i="2"/>
  <c r="BG16" i="2"/>
  <c r="BH16" i="2"/>
  <c r="BI16" i="2"/>
  <c r="BJ16" i="2"/>
  <c r="BK16" i="2"/>
  <c r="BL16" i="2"/>
  <c r="BM16" i="2"/>
  <c r="BN16" i="2"/>
  <c r="BO16" i="2"/>
  <c r="BP16" i="2"/>
  <c r="BQ16" i="2"/>
  <c r="BR16" i="2"/>
  <c r="BS16" i="2"/>
  <c r="BT16" i="2"/>
  <c r="BU16" i="2"/>
  <c r="BV16" i="2"/>
  <c r="BW16" i="2"/>
  <c r="BX16" i="2"/>
  <c r="AI17" i="2"/>
  <c r="AJ17" i="2"/>
  <c r="AK17" i="2"/>
  <c r="AL17" i="2"/>
  <c r="AM17" i="2"/>
  <c r="AN17" i="2"/>
  <c r="AO17" i="2"/>
  <c r="AP17" i="2"/>
  <c r="AQ17" i="2"/>
  <c r="AR17" i="2"/>
  <c r="AS17" i="2"/>
  <c r="AT17" i="2"/>
  <c r="AU17" i="2"/>
  <c r="AV17" i="2"/>
  <c r="AW17" i="2"/>
  <c r="AX17" i="2"/>
  <c r="AY17" i="2"/>
  <c r="AZ17" i="2"/>
  <c r="BA17" i="2"/>
  <c r="BB17" i="2"/>
  <c r="BC17" i="2"/>
  <c r="BD17" i="2"/>
  <c r="BE17" i="2"/>
  <c r="BF17" i="2"/>
  <c r="BG17" i="2"/>
  <c r="BH17" i="2"/>
  <c r="BI17" i="2"/>
  <c r="BJ17" i="2"/>
  <c r="BK17" i="2"/>
  <c r="BL17" i="2"/>
  <c r="BM17" i="2"/>
  <c r="BN17" i="2"/>
  <c r="BO17" i="2"/>
  <c r="BP17" i="2"/>
  <c r="BQ17" i="2"/>
  <c r="BR17" i="2"/>
  <c r="BS17" i="2"/>
  <c r="BT17" i="2"/>
  <c r="BU17" i="2"/>
  <c r="BV17" i="2"/>
  <c r="BW17" i="2"/>
  <c r="BX17" i="2"/>
  <c r="AI18" i="2"/>
  <c r="AJ18" i="2"/>
  <c r="AK18" i="2"/>
  <c r="AL18" i="2"/>
  <c r="AM18" i="2"/>
  <c r="AN18" i="2"/>
  <c r="AO18" i="2"/>
  <c r="AP18" i="2"/>
  <c r="AQ18" i="2"/>
  <c r="AR18" i="2"/>
  <c r="AS18" i="2"/>
  <c r="AT18" i="2"/>
  <c r="AU18" i="2"/>
  <c r="AV18" i="2"/>
  <c r="AW18" i="2"/>
  <c r="AX18" i="2"/>
  <c r="AY18" i="2"/>
  <c r="AZ18" i="2"/>
  <c r="BA18" i="2"/>
  <c r="BB18" i="2"/>
  <c r="BC18" i="2"/>
  <c r="BD18" i="2"/>
  <c r="BE18" i="2"/>
  <c r="BF18" i="2"/>
  <c r="BG18" i="2"/>
  <c r="BH18" i="2"/>
  <c r="BI18" i="2"/>
  <c r="BJ18" i="2"/>
  <c r="BK18" i="2"/>
  <c r="BL18" i="2"/>
  <c r="BM18" i="2"/>
  <c r="BN18" i="2"/>
  <c r="BO18" i="2"/>
  <c r="BP18" i="2"/>
  <c r="BQ18" i="2"/>
  <c r="BR18" i="2"/>
  <c r="BS18" i="2"/>
  <c r="BT18" i="2"/>
  <c r="BU18" i="2"/>
  <c r="BV18" i="2"/>
  <c r="BW18" i="2"/>
  <c r="BX18" i="2"/>
  <c r="AI19" i="2"/>
  <c r="AJ19" i="2"/>
  <c r="AK19" i="2"/>
  <c r="AL19" i="2"/>
  <c r="AM19" i="2"/>
  <c r="AN19" i="2"/>
  <c r="AO19" i="2"/>
  <c r="AP19" i="2"/>
  <c r="AQ19" i="2"/>
  <c r="AR19" i="2"/>
  <c r="AS19" i="2"/>
  <c r="AT19" i="2"/>
  <c r="AU19" i="2"/>
  <c r="AV19" i="2"/>
  <c r="AW19" i="2"/>
  <c r="AX19" i="2"/>
  <c r="AY19" i="2"/>
  <c r="AZ19" i="2"/>
  <c r="BA19" i="2"/>
  <c r="BB19" i="2"/>
  <c r="BC19" i="2"/>
  <c r="BD19" i="2"/>
  <c r="BE19" i="2"/>
  <c r="BF19" i="2"/>
  <c r="BG19" i="2"/>
  <c r="BH19" i="2"/>
  <c r="BI19" i="2"/>
  <c r="BJ19" i="2"/>
  <c r="BK19" i="2"/>
  <c r="BL19" i="2"/>
  <c r="BM19" i="2"/>
  <c r="BN19" i="2"/>
  <c r="BO19" i="2"/>
  <c r="BP19" i="2"/>
  <c r="BQ19" i="2"/>
  <c r="BR19" i="2"/>
  <c r="BS19" i="2"/>
  <c r="BT19" i="2"/>
  <c r="BU19" i="2"/>
  <c r="BV19" i="2"/>
  <c r="BW19" i="2"/>
  <c r="BX19" i="2"/>
  <c r="AI20" i="2"/>
  <c r="AJ20" i="2"/>
  <c r="AK20" i="2"/>
  <c r="AL20" i="2"/>
  <c r="AM20" i="2"/>
  <c r="AN20" i="2"/>
  <c r="AO20" i="2"/>
  <c r="AP20" i="2"/>
  <c r="AQ20" i="2"/>
  <c r="AR20" i="2"/>
  <c r="AS20" i="2"/>
  <c r="AT20" i="2"/>
  <c r="AU20" i="2"/>
  <c r="AV20" i="2"/>
  <c r="AW20" i="2"/>
  <c r="AX20" i="2"/>
  <c r="AY20" i="2"/>
  <c r="AZ20" i="2"/>
  <c r="BA20" i="2"/>
  <c r="BB20" i="2"/>
  <c r="BC20" i="2"/>
  <c r="BD20" i="2"/>
  <c r="BE20" i="2"/>
  <c r="BF20" i="2"/>
  <c r="BG20" i="2"/>
  <c r="BH20" i="2"/>
  <c r="BI20" i="2"/>
  <c r="BJ20" i="2"/>
  <c r="BK20" i="2"/>
  <c r="BL20" i="2"/>
  <c r="BM20" i="2"/>
  <c r="BN20" i="2"/>
  <c r="BO20" i="2"/>
  <c r="BP20" i="2"/>
  <c r="BQ20" i="2"/>
  <c r="BR20" i="2"/>
  <c r="BS20" i="2"/>
  <c r="BT20" i="2"/>
  <c r="BU20" i="2"/>
  <c r="BV20" i="2"/>
  <c r="BW20" i="2"/>
  <c r="BX20" i="2"/>
  <c r="AI21" i="2"/>
  <c r="AJ21" i="2"/>
  <c r="AK21" i="2"/>
  <c r="AL21" i="2"/>
  <c r="AM21" i="2"/>
  <c r="AN21" i="2"/>
  <c r="AO21" i="2"/>
  <c r="AP21" i="2"/>
  <c r="AQ21" i="2"/>
  <c r="AR21" i="2"/>
  <c r="AS21" i="2"/>
  <c r="AT21" i="2"/>
  <c r="AU21" i="2"/>
  <c r="AV21" i="2"/>
  <c r="AW21" i="2"/>
  <c r="AX21" i="2"/>
  <c r="AY21" i="2"/>
  <c r="AZ21" i="2"/>
  <c r="BA21" i="2"/>
  <c r="BB21" i="2"/>
  <c r="BC21" i="2"/>
  <c r="BD21" i="2"/>
  <c r="BE21" i="2"/>
  <c r="BF21" i="2"/>
  <c r="BG21" i="2"/>
  <c r="BH21" i="2"/>
  <c r="BI21" i="2"/>
  <c r="BJ21" i="2"/>
  <c r="BK21" i="2"/>
  <c r="BL21" i="2"/>
  <c r="BM21" i="2"/>
  <c r="BN21" i="2"/>
  <c r="BO21" i="2"/>
  <c r="BP21" i="2"/>
  <c r="BQ21" i="2"/>
  <c r="BR21" i="2"/>
  <c r="BS21" i="2"/>
  <c r="BT21" i="2"/>
  <c r="BU21" i="2"/>
  <c r="BV21" i="2"/>
  <c r="BW21" i="2"/>
  <c r="BX21" i="2"/>
  <c r="AI22" i="2"/>
  <c r="AJ22" i="2"/>
  <c r="AK22" i="2"/>
  <c r="AL22" i="2"/>
  <c r="AM22" i="2"/>
  <c r="AN22" i="2"/>
  <c r="AO22" i="2"/>
  <c r="AP22" i="2"/>
  <c r="AQ22" i="2"/>
  <c r="AR22" i="2"/>
  <c r="AS22" i="2"/>
  <c r="AT22" i="2"/>
  <c r="AU22" i="2"/>
  <c r="AV22" i="2"/>
  <c r="AW22" i="2"/>
  <c r="AX22" i="2"/>
  <c r="AY22" i="2"/>
  <c r="AZ22" i="2"/>
  <c r="BA22" i="2"/>
  <c r="BB22" i="2"/>
  <c r="BC22" i="2"/>
  <c r="BD22" i="2"/>
  <c r="BE22" i="2"/>
  <c r="BF22" i="2"/>
  <c r="BG22" i="2"/>
  <c r="BH22" i="2"/>
  <c r="BI22" i="2"/>
  <c r="BJ22" i="2"/>
  <c r="BK22" i="2"/>
  <c r="BL22" i="2"/>
  <c r="BM22" i="2"/>
  <c r="BN22" i="2"/>
  <c r="BO22" i="2"/>
  <c r="BP22" i="2"/>
  <c r="BQ22" i="2"/>
  <c r="BR22" i="2"/>
  <c r="BS22" i="2"/>
  <c r="BT22" i="2"/>
  <c r="BU22" i="2"/>
  <c r="BV22" i="2"/>
  <c r="BW22" i="2"/>
  <c r="BX22" i="2"/>
  <c r="AI23" i="2"/>
  <c r="AJ23" i="2"/>
  <c r="AK23" i="2"/>
  <c r="AL23" i="2"/>
  <c r="AM23" i="2"/>
  <c r="AN23" i="2"/>
  <c r="AO23" i="2"/>
  <c r="AP23" i="2"/>
  <c r="AQ23" i="2"/>
  <c r="AR23" i="2"/>
  <c r="AS23" i="2"/>
  <c r="AT23" i="2"/>
  <c r="AU23" i="2"/>
  <c r="AV23" i="2"/>
  <c r="AW23" i="2"/>
  <c r="AX23" i="2"/>
  <c r="AY23" i="2"/>
  <c r="AZ23" i="2"/>
  <c r="BA23" i="2"/>
  <c r="BB23" i="2"/>
  <c r="BC23" i="2"/>
  <c r="BD23" i="2"/>
  <c r="BE23" i="2"/>
  <c r="BF23" i="2"/>
  <c r="BG23" i="2"/>
  <c r="BH23" i="2"/>
  <c r="BI23" i="2"/>
  <c r="BJ23" i="2"/>
  <c r="BK23" i="2"/>
  <c r="BL23" i="2"/>
  <c r="BM23" i="2"/>
  <c r="BN23" i="2"/>
  <c r="BO23" i="2"/>
  <c r="BP23" i="2"/>
  <c r="BQ23" i="2"/>
  <c r="BR23" i="2"/>
  <c r="BS23" i="2"/>
  <c r="BT23" i="2"/>
  <c r="BU23" i="2"/>
  <c r="BV23" i="2"/>
  <c r="BW23" i="2"/>
  <c r="BX23" i="2"/>
  <c r="AI24" i="2"/>
  <c r="AJ24" i="2"/>
  <c r="AK24" i="2"/>
  <c r="AL24" i="2"/>
  <c r="AM24" i="2"/>
  <c r="AN24" i="2"/>
  <c r="AO24" i="2"/>
  <c r="AP24" i="2"/>
  <c r="AQ24" i="2"/>
  <c r="AR24" i="2"/>
  <c r="AS24" i="2"/>
  <c r="AT24" i="2"/>
  <c r="AU24" i="2"/>
  <c r="AV24" i="2"/>
  <c r="AW24" i="2"/>
  <c r="AX24" i="2"/>
  <c r="AY24" i="2"/>
  <c r="AZ24" i="2"/>
  <c r="BA24" i="2"/>
  <c r="BB24" i="2"/>
  <c r="BC24" i="2"/>
  <c r="BD24" i="2"/>
  <c r="BE24" i="2"/>
  <c r="BF24" i="2"/>
  <c r="BG24" i="2"/>
  <c r="BH24" i="2"/>
  <c r="BI24" i="2"/>
  <c r="BJ24" i="2"/>
  <c r="BK24" i="2"/>
  <c r="BL24" i="2"/>
  <c r="BM24" i="2"/>
  <c r="BN24" i="2"/>
  <c r="BO24" i="2"/>
  <c r="BP24" i="2"/>
  <c r="BQ24" i="2"/>
  <c r="BR24" i="2"/>
  <c r="BS24" i="2"/>
  <c r="BT24" i="2"/>
  <c r="BU24" i="2"/>
  <c r="BV24" i="2"/>
  <c r="BW24" i="2"/>
  <c r="BX24" i="2"/>
  <c r="AI25" i="2"/>
  <c r="AJ25" i="2"/>
  <c r="AK25" i="2"/>
  <c r="AL25" i="2"/>
  <c r="AM25" i="2"/>
  <c r="AN25" i="2"/>
  <c r="AO25" i="2"/>
  <c r="AP25" i="2"/>
  <c r="AQ25" i="2"/>
  <c r="AR25" i="2"/>
  <c r="AS25" i="2"/>
  <c r="AT25" i="2"/>
  <c r="AU25" i="2"/>
  <c r="AV25" i="2"/>
  <c r="AW25" i="2"/>
  <c r="AX25" i="2"/>
  <c r="AY25" i="2"/>
  <c r="AZ25" i="2"/>
  <c r="BA25" i="2"/>
  <c r="BB25" i="2"/>
  <c r="BC25" i="2"/>
  <c r="BD25" i="2"/>
  <c r="BE25" i="2"/>
  <c r="BF25" i="2"/>
  <c r="BG25" i="2"/>
  <c r="BH25" i="2"/>
  <c r="BI25" i="2"/>
  <c r="BJ25" i="2"/>
  <c r="BK25" i="2"/>
  <c r="BL25" i="2"/>
  <c r="BM25" i="2"/>
  <c r="BN25" i="2"/>
  <c r="BO25" i="2"/>
  <c r="BP25" i="2"/>
  <c r="BQ25" i="2"/>
  <c r="BR25" i="2"/>
  <c r="BS25" i="2"/>
  <c r="BT25" i="2"/>
  <c r="BU25" i="2"/>
  <c r="BV25" i="2"/>
  <c r="BW25" i="2"/>
  <c r="BX25" i="2"/>
  <c r="AI26" i="2"/>
  <c r="AJ26" i="2"/>
  <c r="AK26" i="2"/>
  <c r="AL26" i="2"/>
  <c r="AM26" i="2"/>
  <c r="AN26" i="2"/>
  <c r="AO26" i="2"/>
  <c r="AP26" i="2"/>
  <c r="AQ26" i="2"/>
  <c r="AR26" i="2"/>
  <c r="AS26" i="2"/>
  <c r="AT26" i="2"/>
  <c r="AU26" i="2"/>
  <c r="AV26" i="2"/>
  <c r="AW26" i="2"/>
  <c r="AX26" i="2"/>
  <c r="AY26" i="2"/>
  <c r="AZ26" i="2"/>
  <c r="BA26" i="2"/>
  <c r="BB26" i="2"/>
  <c r="BC26" i="2"/>
  <c r="BD26" i="2"/>
  <c r="BE26" i="2"/>
  <c r="BF26" i="2"/>
  <c r="BG26" i="2"/>
  <c r="BH26" i="2"/>
  <c r="BI26" i="2"/>
  <c r="BJ26" i="2"/>
  <c r="BK26" i="2"/>
  <c r="BL26" i="2"/>
  <c r="BM26" i="2"/>
  <c r="BN26" i="2"/>
  <c r="BO26" i="2"/>
  <c r="BP26" i="2"/>
  <c r="BQ26" i="2"/>
  <c r="BR26" i="2"/>
  <c r="BS26" i="2"/>
  <c r="BT26" i="2"/>
  <c r="BU26" i="2"/>
  <c r="BV26" i="2"/>
  <c r="BW26" i="2"/>
  <c r="BX26" i="2"/>
  <c r="AI27" i="2"/>
  <c r="AJ27" i="2"/>
  <c r="AK27" i="2"/>
  <c r="AL27" i="2"/>
  <c r="AM27" i="2"/>
  <c r="AN27" i="2"/>
  <c r="AO27" i="2"/>
  <c r="AP27" i="2"/>
  <c r="AQ27" i="2"/>
  <c r="AR27" i="2"/>
  <c r="AS27" i="2"/>
  <c r="AT27" i="2"/>
  <c r="AU27" i="2"/>
  <c r="AV27" i="2"/>
  <c r="AW27" i="2"/>
  <c r="AX27" i="2"/>
  <c r="AY27" i="2"/>
  <c r="AZ27" i="2"/>
  <c r="BA27" i="2"/>
  <c r="BB27" i="2"/>
  <c r="BC27" i="2"/>
  <c r="BD27" i="2"/>
  <c r="BE27" i="2"/>
  <c r="BF27" i="2"/>
  <c r="BG27" i="2"/>
  <c r="BH27" i="2"/>
  <c r="BI27" i="2"/>
  <c r="BJ27" i="2"/>
  <c r="BK27" i="2"/>
  <c r="BL27" i="2"/>
  <c r="BM27" i="2"/>
  <c r="BN27" i="2"/>
  <c r="BO27" i="2"/>
  <c r="BP27" i="2"/>
  <c r="BQ27" i="2"/>
  <c r="BR27" i="2"/>
  <c r="BS27" i="2"/>
  <c r="BT27" i="2"/>
  <c r="BU27" i="2"/>
  <c r="BV27" i="2"/>
  <c r="BW27" i="2"/>
  <c r="BX27" i="2"/>
  <c r="AI28" i="2"/>
  <c r="AJ28" i="2"/>
  <c r="AK28" i="2"/>
  <c r="AL28" i="2"/>
  <c r="AM28" i="2"/>
  <c r="AN28" i="2"/>
  <c r="AO28" i="2"/>
  <c r="AP28" i="2"/>
  <c r="AQ28" i="2"/>
  <c r="AR28" i="2"/>
  <c r="AS28" i="2"/>
  <c r="AT28" i="2"/>
  <c r="AU28" i="2"/>
  <c r="AV28" i="2"/>
  <c r="AW28" i="2"/>
  <c r="AX28" i="2"/>
  <c r="AY28" i="2"/>
  <c r="AZ28" i="2"/>
  <c r="BA28" i="2"/>
  <c r="BB28" i="2"/>
  <c r="BC28" i="2"/>
  <c r="BD28" i="2"/>
  <c r="BE28" i="2"/>
  <c r="BF28" i="2"/>
  <c r="BG28" i="2"/>
  <c r="BH28" i="2"/>
  <c r="BI28" i="2"/>
  <c r="BJ28" i="2"/>
  <c r="BK28" i="2"/>
  <c r="BL28" i="2"/>
  <c r="BM28" i="2"/>
  <c r="BN28" i="2"/>
  <c r="BO28" i="2"/>
  <c r="BP28" i="2"/>
  <c r="BQ28" i="2"/>
  <c r="BR28" i="2"/>
  <c r="BS28" i="2"/>
  <c r="BT28" i="2"/>
  <c r="BU28" i="2"/>
  <c r="BV28" i="2"/>
  <c r="BW28" i="2"/>
  <c r="BX28" i="2"/>
  <c r="AI29" i="2"/>
  <c r="AJ29" i="2"/>
  <c r="AK29" i="2"/>
  <c r="AL29" i="2"/>
  <c r="AM29" i="2"/>
  <c r="AN29" i="2"/>
  <c r="AO29" i="2"/>
  <c r="AP29" i="2"/>
  <c r="AQ29" i="2"/>
  <c r="AR29" i="2"/>
  <c r="AS29" i="2"/>
  <c r="AT29" i="2"/>
  <c r="AU29" i="2"/>
  <c r="AV29" i="2"/>
  <c r="AW29" i="2"/>
  <c r="AX29" i="2"/>
  <c r="AY29" i="2"/>
  <c r="AZ29" i="2"/>
  <c r="BA29" i="2"/>
  <c r="BB29" i="2"/>
  <c r="BC29" i="2"/>
  <c r="BD29" i="2"/>
  <c r="BE29" i="2"/>
  <c r="BF29" i="2"/>
  <c r="BG29" i="2"/>
  <c r="BH29" i="2"/>
  <c r="BI29" i="2"/>
  <c r="BJ29" i="2"/>
  <c r="BK29" i="2"/>
  <c r="BL29" i="2"/>
  <c r="BM29" i="2"/>
  <c r="BN29" i="2"/>
  <c r="BO29" i="2"/>
  <c r="BP29" i="2"/>
  <c r="BQ29" i="2"/>
  <c r="BR29" i="2"/>
  <c r="BS29" i="2"/>
  <c r="BT29" i="2"/>
  <c r="BU29" i="2"/>
  <c r="BV29" i="2"/>
  <c r="BW29" i="2"/>
  <c r="BX29" i="2"/>
  <c r="AI30" i="2"/>
  <c r="AJ30" i="2"/>
  <c r="AK30" i="2"/>
  <c r="AL30" i="2"/>
  <c r="AM30" i="2"/>
  <c r="AN30" i="2"/>
  <c r="AO30" i="2"/>
  <c r="AP30" i="2"/>
  <c r="AQ30" i="2"/>
  <c r="AR30" i="2"/>
  <c r="AS30" i="2"/>
  <c r="AT30" i="2"/>
  <c r="AU30" i="2"/>
  <c r="AV30" i="2"/>
  <c r="AW30" i="2"/>
  <c r="AX30" i="2"/>
  <c r="AY30" i="2"/>
  <c r="AZ30" i="2"/>
  <c r="BA30" i="2"/>
  <c r="BB30" i="2"/>
  <c r="BC30" i="2"/>
  <c r="BD30" i="2"/>
  <c r="BE30" i="2"/>
  <c r="BF30" i="2"/>
  <c r="BG30" i="2"/>
  <c r="BH30" i="2"/>
  <c r="BI30" i="2"/>
  <c r="BJ30" i="2"/>
  <c r="BK30" i="2"/>
  <c r="BL30" i="2"/>
  <c r="BM30" i="2"/>
  <c r="BN30" i="2"/>
  <c r="BO30" i="2"/>
  <c r="BP30" i="2"/>
  <c r="BQ30" i="2"/>
  <c r="BR30" i="2"/>
  <c r="BS30" i="2"/>
  <c r="BT30" i="2"/>
  <c r="BU30" i="2"/>
  <c r="BV30" i="2"/>
  <c r="BW30" i="2"/>
  <c r="BX30" i="2"/>
  <c r="AI31" i="2"/>
  <c r="AJ31" i="2"/>
  <c r="AK31" i="2"/>
  <c r="AL31" i="2"/>
  <c r="AM31" i="2"/>
  <c r="AN31" i="2"/>
  <c r="AO31" i="2"/>
  <c r="AP31" i="2"/>
  <c r="AQ31" i="2"/>
  <c r="AR31" i="2"/>
  <c r="AS31" i="2"/>
  <c r="AT31" i="2"/>
  <c r="AU31" i="2"/>
  <c r="AV31" i="2"/>
  <c r="AW31" i="2"/>
  <c r="AX31" i="2"/>
  <c r="AY31" i="2"/>
  <c r="AZ31" i="2"/>
  <c r="BA31" i="2"/>
  <c r="BB31" i="2"/>
  <c r="BC31" i="2"/>
  <c r="BD31" i="2"/>
  <c r="BE31" i="2"/>
  <c r="BF31" i="2"/>
  <c r="BG31" i="2"/>
  <c r="BH31" i="2"/>
  <c r="BI31" i="2"/>
  <c r="BJ31" i="2"/>
  <c r="BK31" i="2"/>
  <c r="BL31" i="2"/>
  <c r="BM31" i="2"/>
  <c r="BN31" i="2"/>
  <c r="BO31" i="2"/>
  <c r="BP31" i="2"/>
  <c r="BQ31" i="2"/>
  <c r="BR31" i="2"/>
  <c r="BS31" i="2"/>
  <c r="BT31" i="2"/>
  <c r="BU31" i="2"/>
  <c r="BV31" i="2"/>
  <c r="BW31" i="2"/>
  <c r="BX31" i="2"/>
  <c r="AI32" i="2"/>
  <c r="AJ32" i="2"/>
  <c r="AK32" i="2"/>
  <c r="AL32" i="2"/>
  <c r="AM32" i="2"/>
  <c r="AN32" i="2"/>
  <c r="AO32" i="2"/>
  <c r="AP32" i="2"/>
  <c r="AQ32" i="2"/>
  <c r="AR32" i="2"/>
  <c r="AS32" i="2"/>
  <c r="AT32" i="2"/>
  <c r="AU32" i="2"/>
  <c r="AV32" i="2"/>
  <c r="AW32" i="2"/>
  <c r="AX32" i="2"/>
  <c r="AY32" i="2"/>
  <c r="AZ32" i="2"/>
  <c r="BA32" i="2"/>
  <c r="BB32" i="2"/>
  <c r="BC32" i="2"/>
  <c r="BD32" i="2"/>
  <c r="BE32" i="2"/>
  <c r="BF32" i="2"/>
  <c r="BG32" i="2"/>
  <c r="BH32" i="2"/>
  <c r="BI32" i="2"/>
  <c r="BJ32" i="2"/>
  <c r="BK32" i="2"/>
  <c r="BL32" i="2"/>
  <c r="BM32" i="2"/>
  <c r="BN32" i="2"/>
  <c r="BO32" i="2"/>
  <c r="BP32" i="2"/>
  <c r="BQ32" i="2"/>
  <c r="BR32" i="2"/>
  <c r="BS32" i="2"/>
  <c r="BT32" i="2"/>
  <c r="BU32" i="2"/>
  <c r="BV32" i="2"/>
  <c r="BW32" i="2"/>
  <c r="BX32" i="2"/>
  <c r="AI33" i="2"/>
  <c r="AJ33" i="2"/>
  <c r="AK33" i="2"/>
  <c r="AL33" i="2"/>
  <c r="AM33" i="2"/>
  <c r="AN33" i="2"/>
  <c r="AO33" i="2"/>
  <c r="AP33" i="2"/>
  <c r="AQ33" i="2"/>
  <c r="AR33" i="2"/>
  <c r="AS33" i="2"/>
  <c r="AT33" i="2"/>
  <c r="AU33" i="2"/>
  <c r="AV33" i="2"/>
  <c r="AW33" i="2"/>
  <c r="AX33" i="2"/>
  <c r="AY33" i="2"/>
  <c r="AZ33" i="2"/>
  <c r="BA33" i="2"/>
  <c r="BB33" i="2"/>
  <c r="BC33" i="2"/>
  <c r="BD33" i="2"/>
  <c r="BE33" i="2"/>
  <c r="BF33" i="2"/>
  <c r="BG33" i="2"/>
  <c r="BH33" i="2"/>
  <c r="BI33" i="2"/>
  <c r="BJ33" i="2"/>
  <c r="BK33" i="2"/>
  <c r="BL33" i="2"/>
  <c r="BM33" i="2"/>
  <c r="BN33" i="2"/>
  <c r="BO33" i="2"/>
  <c r="BP33" i="2"/>
  <c r="BQ33" i="2"/>
  <c r="BR33" i="2"/>
  <c r="BS33" i="2"/>
  <c r="BT33" i="2"/>
  <c r="BU33" i="2"/>
  <c r="BV33" i="2"/>
  <c r="BW33" i="2"/>
  <c r="BX33" i="2"/>
  <c r="AI34" i="2"/>
  <c r="AJ34" i="2"/>
  <c r="AK34" i="2"/>
  <c r="AL34" i="2"/>
  <c r="AM34" i="2"/>
  <c r="AN34" i="2"/>
  <c r="AO34" i="2"/>
  <c r="AP34" i="2"/>
  <c r="AQ34" i="2"/>
  <c r="AR34" i="2"/>
  <c r="AS34" i="2"/>
  <c r="AT34" i="2"/>
  <c r="AU34" i="2"/>
  <c r="AV34" i="2"/>
  <c r="AW34" i="2"/>
  <c r="AX34" i="2"/>
  <c r="AY34" i="2"/>
  <c r="AZ34" i="2"/>
  <c r="BA34" i="2"/>
  <c r="BB34" i="2"/>
  <c r="BC34" i="2"/>
  <c r="BD34" i="2"/>
  <c r="BE34" i="2"/>
  <c r="BF34" i="2"/>
  <c r="BG34" i="2"/>
  <c r="BH34" i="2"/>
  <c r="BI34" i="2"/>
  <c r="BJ34" i="2"/>
  <c r="BK34" i="2"/>
  <c r="BL34" i="2"/>
  <c r="BM34" i="2"/>
  <c r="BN34" i="2"/>
  <c r="BO34" i="2"/>
  <c r="BP34" i="2"/>
  <c r="BQ34" i="2"/>
  <c r="BR34" i="2"/>
  <c r="BS34" i="2"/>
  <c r="BT34" i="2"/>
  <c r="BU34" i="2"/>
  <c r="BV34" i="2"/>
  <c r="BW34" i="2"/>
  <c r="BX34" i="2"/>
  <c r="AI35" i="2"/>
  <c r="AJ35" i="2"/>
  <c r="AK35" i="2"/>
  <c r="AL35" i="2"/>
  <c r="AM35" i="2"/>
  <c r="AN35" i="2"/>
  <c r="AO35" i="2"/>
  <c r="AP35" i="2"/>
  <c r="AQ35" i="2"/>
  <c r="AR35" i="2"/>
  <c r="AS35" i="2"/>
  <c r="AT35" i="2"/>
  <c r="AU35" i="2"/>
  <c r="AV35" i="2"/>
  <c r="AW35" i="2"/>
  <c r="AX35" i="2"/>
  <c r="AY35" i="2"/>
  <c r="AZ35" i="2"/>
  <c r="BA35" i="2"/>
  <c r="BB35" i="2"/>
  <c r="BC35" i="2"/>
  <c r="BD35" i="2"/>
  <c r="BE35" i="2"/>
  <c r="BF35" i="2"/>
  <c r="BG35" i="2"/>
  <c r="BH35" i="2"/>
  <c r="BI35" i="2"/>
  <c r="BJ35" i="2"/>
  <c r="BK35" i="2"/>
  <c r="BL35" i="2"/>
  <c r="BM35" i="2"/>
  <c r="BN35" i="2"/>
  <c r="BO35" i="2"/>
  <c r="BP35" i="2"/>
  <c r="BQ35" i="2"/>
  <c r="BR35" i="2"/>
  <c r="BS35" i="2"/>
  <c r="BT35" i="2"/>
  <c r="BU35" i="2"/>
  <c r="BV35" i="2"/>
  <c r="BW35" i="2"/>
  <c r="BX35" i="2"/>
  <c r="AI36" i="2"/>
  <c r="AJ36" i="2"/>
  <c r="AK36" i="2"/>
  <c r="AL36" i="2"/>
  <c r="AM36" i="2"/>
  <c r="AN36" i="2"/>
  <c r="AO36" i="2"/>
  <c r="AP36" i="2"/>
  <c r="AQ36" i="2"/>
  <c r="AR36" i="2"/>
  <c r="AS36" i="2"/>
  <c r="AT36" i="2"/>
  <c r="AU36" i="2"/>
  <c r="AV36" i="2"/>
  <c r="AW36" i="2"/>
  <c r="AX36" i="2"/>
  <c r="AY36" i="2"/>
  <c r="AZ36" i="2"/>
  <c r="BA36" i="2"/>
  <c r="BB36" i="2"/>
  <c r="BC36" i="2"/>
  <c r="BD36" i="2"/>
  <c r="BE36" i="2"/>
  <c r="BF36" i="2"/>
  <c r="BG36" i="2"/>
  <c r="BH36" i="2"/>
  <c r="BI36" i="2"/>
  <c r="BJ36" i="2"/>
  <c r="BK36" i="2"/>
  <c r="BL36" i="2"/>
  <c r="BM36" i="2"/>
  <c r="BN36" i="2"/>
  <c r="BO36" i="2"/>
  <c r="BP36" i="2"/>
  <c r="BQ36" i="2"/>
  <c r="BR36" i="2"/>
  <c r="BS36" i="2"/>
  <c r="BT36" i="2"/>
  <c r="BU36" i="2"/>
  <c r="BV36" i="2"/>
  <c r="BW36" i="2"/>
  <c r="BX36" i="2"/>
  <c r="AI37" i="2"/>
  <c r="AJ37" i="2"/>
  <c r="AK37" i="2"/>
  <c r="AL37" i="2"/>
  <c r="AM37" i="2"/>
  <c r="AN37" i="2"/>
  <c r="AO37" i="2"/>
  <c r="AP37" i="2"/>
  <c r="AQ37" i="2"/>
  <c r="AR37" i="2"/>
  <c r="AS37" i="2"/>
  <c r="AT37" i="2"/>
  <c r="AU37" i="2"/>
  <c r="AV37" i="2"/>
  <c r="AW37" i="2"/>
  <c r="AX37" i="2"/>
  <c r="AY37" i="2"/>
  <c r="AZ37" i="2"/>
  <c r="BA37" i="2"/>
  <c r="BB37" i="2"/>
  <c r="BC37" i="2"/>
  <c r="BD37" i="2"/>
  <c r="BE37" i="2"/>
  <c r="BF37" i="2"/>
  <c r="BG37" i="2"/>
  <c r="BH37" i="2"/>
  <c r="BI37" i="2"/>
  <c r="BJ37" i="2"/>
  <c r="BK37" i="2"/>
  <c r="BL37" i="2"/>
  <c r="BM37" i="2"/>
  <c r="BN37" i="2"/>
  <c r="BO37" i="2"/>
  <c r="BP37" i="2"/>
  <c r="BQ37" i="2"/>
  <c r="BR37" i="2"/>
  <c r="BS37" i="2"/>
  <c r="BT37" i="2"/>
  <c r="BU37" i="2"/>
  <c r="BV37" i="2"/>
  <c r="BW37" i="2"/>
  <c r="BX37" i="2"/>
  <c r="AI38" i="2"/>
  <c r="AJ38" i="2"/>
  <c r="AK38" i="2"/>
  <c r="AL38" i="2"/>
  <c r="AM38" i="2"/>
  <c r="AN38" i="2"/>
  <c r="AO38" i="2"/>
  <c r="AP38" i="2"/>
  <c r="AQ38" i="2"/>
  <c r="AR38" i="2"/>
  <c r="AS38" i="2"/>
  <c r="AT38" i="2"/>
  <c r="AU38" i="2"/>
  <c r="AV38" i="2"/>
  <c r="AW38" i="2"/>
  <c r="AX38" i="2"/>
  <c r="AY38" i="2"/>
  <c r="AZ38" i="2"/>
  <c r="BA38" i="2"/>
  <c r="BB38" i="2"/>
  <c r="BC38" i="2"/>
  <c r="BD38" i="2"/>
  <c r="BE38" i="2"/>
  <c r="BF38" i="2"/>
  <c r="BG38" i="2"/>
  <c r="BH38" i="2"/>
  <c r="BI38" i="2"/>
  <c r="BJ38" i="2"/>
  <c r="BK38" i="2"/>
  <c r="BL38" i="2"/>
  <c r="BM38" i="2"/>
  <c r="BN38" i="2"/>
  <c r="BO38" i="2"/>
  <c r="BP38" i="2"/>
  <c r="BQ38" i="2"/>
  <c r="BR38" i="2"/>
  <c r="BS38" i="2"/>
  <c r="BT38" i="2"/>
  <c r="BU38" i="2"/>
  <c r="BV38" i="2"/>
  <c r="BW38" i="2"/>
  <c r="BX38" i="2"/>
  <c r="AI39" i="2"/>
  <c r="AJ39" i="2"/>
  <c r="AK39" i="2"/>
  <c r="AL39" i="2"/>
  <c r="AM39" i="2"/>
  <c r="AN39" i="2"/>
  <c r="AO39" i="2"/>
  <c r="AP39" i="2"/>
  <c r="AQ39" i="2"/>
  <c r="AR39" i="2"/>
  <c r="AS39" i="2"/>
  <c r="AT39" i="2"/>
  <c r="AU39" i="2"/>
  <c r="AV39" i="2"/>
  <c r="AW39" i="2"/>
  <c r="AX39" i="2"/>
  <c r="AY39" i="2"/>
  <c r="AZ39" i="2"/>
  <c r="BA39" i="2"/>
  <c r="BB39" i="2"/>
  <c r="BC39" i="2"/>
  <c r="BD39" i="2"/>
  <c r="BE39" i="2"/>
  <c r="BF39" i="2"/>
  <c r="BG39" i="2"/>
  <c r="BH39" i="2"/>
  <c r="BI39" i="2"/>
  <c r="BJ39" i="2"/>
  <c r="BK39" i="2"/>
  <c r="BL39" i="2"/>
  <c r="BM39" i="2"/>
  <c r="BN39" i="2"/>
  <c r="BO39" i="2"/>
  <c r="BP39" i="2"/>
  <c r="BQ39" i="2"/>
  <c r="BR39" i="2"/>
  <c r="BS39" i="2"/>
  <c r="BT39" i="2"/>
  <c r="BU39" i="2"/>
  <c r="BV39" i="2"/>
  <c r="BW39" i="2"/>
  <c r="BX39" i="2"/>
  <c r="AI40" i="2"/>
  <c r="AJ40" i="2"/>
  <c r="AK40" i="2"/>
  <c r="AL40" i="2"/>
  <c r="AM40" i="2"/>
  <c r="AN40" i="2"/>
  <c r="AO40" i="2"/>
  <c r="AP40" i="2"/>
  <c r="AQ40" i="2"/>
  <c r="AR40" i="2"/>
  <c r="AS40" i="2"/>
  <c r="AT40" i="2"/>
  <c r="AU40" i="2"/>
  <c r="AV40" i="2"/>
  <c r="AW40" i="2"/>
  <c r="AX40" i="2"/>
  <c r="AY40" i="2"/>
  <c r="AZ40" i="2"/>
  <c r="BA40" i="2"/>
  <c r="BB40" i="2"/>
  <c r="BC40" i="2"/>
  <c r="BD40" i="2"/>
  <c r="BE40" i="2"/>
  <c r="BF40" i="2"/>
  <c r="BG40" i="2"/>
  <c r="BH40" i="2"/>
  <c r="BI40" i="2"/>
  <c r="BJ40" i="2"/>
  <c r="BK40" i="2"/>
  <c r="BL40" i="2"/>
  <c r="BM40" i="2"/>
  <c r="BN40" i="2"/>
  <c r="BO40" i="2"/>
  <c r="BP40" i="2"/>
  <c r="BQ40" i="2"/>
  <c r="BR40" i="2"/>
  <c r="BS40" i="2"/>
  <c r="BT40" i="2"/>
  <c r="BU40" i="2"/>
  <c r="BV40" i="2"/>
  <c r="BW40" i="2"/>
  <c r="BX40" i="2"/>
  <c r="AI41" i="2"/>
  <c r="AJ41" i="2"/>
  <c r="AK41" i="2"/>
  <c r="AL41" i="2"/>
  <c r="AM41" i="2"/>
  <c r="AN41" i="2"/>
  <c r="AO41" i="2"/>
  <c r="AP41" i="2"/>
  <c r="AQ41" i="2"/>
  <c r="AR41" i="2"/>
  <c r="AS41" i="2"/>
  <c r="AT41" i="2"/>
  <c r="AU41" i="2"/>
  <c r="AV41" i="2"/>
  <c r="AW41" i="2"/>
  <c r="AX41" i="2"/>
  <c r="AY41" i="2"/>
  <c r="AZ41" i="2"/>
  <c r="BA41" i="2"/>
  <c r="BB41" i="2"/>
  <c r="BC41" i="2"/>
  <c r="BD41" i="2"/>
  <c r="BE41" i="2"/>
  <c r="BF41" i="2"/>
  <c r="BG41" i="2"/>
  <c r="BH41" i="2"/>
  <c r="BI41" i="2"/>
  <c r="BJ41" i="2"/>
  <c r="BK41" i="2"/>
  <c r="BL41" i="2"/>
  <c r="BM41" i="2"/>
  <c r="BN41" i="2"/>
  <c r="BO41" i="2"/>
  <c r="BP41" i="2"/>
  <c r="BQ41" i="2"/>
  <c r="BR41" i="2"/>
  <c r="BS41" i="2"/>
  <c r="BT41" i="2"/>
  <c r="BU41" i="2"/>
  <c r="BV41" i="2"/>
  <c r="BW41" i="2"/>
  <c r="BX41" i="2"/>
  <c r="AI42" i="2"/>
  <c r="AJ42" i="2"/>
  <c r="AK42" i="2"/>
  <c r="AL42" i="2"/>
  <c r="AM42" i="2"/>
  <c r="AN42" i="2"/>
  <c r="AO42" i="2"/>
  <c r="AP42" i="2"/>
  <c r="AQ42" i="2"/>
  <c r="AR42" i="2"/>
  <c r="AS42" i="2"/>
  <c r="AT42" i="2"/>
  <c r="AU42" i="2"/>
  <c r="AV42" i="2"/>
  <c r="AW42" i="2"/>
  <c r="AX42" i="2"/>
  <c r="AY42" i="2"/>
  <c r="AZ42" i="2"/>
  <c r="BA42" i="2"/>
  <c r="BB42" i="2"/>
  <c r="BC42" i="2"/>
  <c r="BD42" i="2"/>
  <c r="BE42" i="2"/>
  <c r="BF42" i="2"/>
  <c r="BG42" i="2"/>
  <c r="BH42" i="2"/>
  <c r="BI42" i="2"/>
  <c r="BJ42" i="2"/>
  <c r="BK42" i="2"/>
  <c r="BL42" i="2"/>
  <c r="BM42" i="2"/>
  <c r="BN42" i="2"/>
  <c r="BO42" i="2"/>
  <c r="BP42" i="2"/>
  <c r="BQ42" i="2"/>
  <c r="BR42" i="2"/>
  <c r="BS42" i="2"/>
  <c r="BT42" i="2"/>
  <c r="BU42" i="2"/>
  <c r="BV42" i="2"/>
  <c r="BW42" i="2"/>
  <c r="BX42" i="2"/>
  <c r="AI43" i="2"/>
  <c r="AJ43" i="2"/>
  <c r="AK43" i="2"/>
  <c r="AL43" i="2"/>
  <c r="AM43" i="2"/>
  <c r="AN43" i="2"/>
  <c r="AO43" i="2"/>
  <c r="AP43" i="2"/>
  <c r="AQ43" i="2"/>
  <c r="AR43" i="2"/>
  <c r="AS43" i="2"/>
  <c r="AT43" i="2"/>
  <c r="AU43" i="2"/>
  <c r="AV43" i="2"/>
  <c r="AW43" i="2"/>
  <c r="AX43" i="2"/>
  <c r="AY43" i="2"/>
  <c r="AZ43" i="2"/>
  <c r="BA43" i="2"/>
  <c r="BB43" i="2"/>
  <c r="BC43" i="2"/>
  <c r="BD43" i="2"/>
  <c r="BE43" i="2"/>
  <c r="BF43" i="2"/>
  <c r="BG43" i="2"/>
  <c r="BH43" i="2"/>
  <c r="BI43" i="2"/>
  <c r="BJ43" i="2"/>
  <c r="BK43" i="2"/>
  <c r="BL43" i="2"/>
  <c r="BM43" i="2"/>
  <c r="BN43" i="2"/>
  <c r="BO43" i="2"/>
  <c r="BP43" i="2"/>
  <c r="BQ43" i="2"/>
  <c r="BR43" i="2"/>
  <c r="BS43" i="2"/>
  <c r="BT43" i="2"/>
  <c r="BU43" i="2"/>
  <c r="BV43" i="2"/>
  <c r="BW43" i="2"/>
  <c r="BX43" i="2"/>
  <c r="AI44" i="2"/>
  <c r="AJ44" i="2"/>
  <c r="AK44" i="2"/>
  <c r="AL44" i="2"/>
  <c r="AM44" i="2"/>
  <c r="AN44" i="2"/>
  <c r="AO44" i="2"/>
  <c r="AP44" i="2"/>
  <c r="AQ44" i="2"/>
  <c r="AR44" i="2"/>
  <c r="AS44" i="2"/>
  <c r="AT44" i="2"/>
  <c r="AU44" i="2"/>
  <c r="AV44" i="2"/>
  <c r="AW44" i="2"/>
  <c r="AX44" i="2"/>
  <c r="AY44" i="2"/>
  <c r="AZ44" i="2"/>
  <c r="BA44" i="2"/>
  <c r="BB44" i="2"/>
  <c r="BC44" i="2"/>
  <c r="BD44" i="2"/>
  <c r="BE44" i="2"/>
  <c r="BF44" i="2"/>
  <c r="BG44" i="2"/>
  <c r="BH44" i="2"/>
  <c r="BI44" i="2"/>
  <c r="BJ44" i="2"/>
  <c r="BK44" i="2"/>
  <c r="BL44" i="2"/>
  <c r="BM44" i="2"/>
  <c r="BN44" i="2"/>
  <c r="BO44" i="2"/>
  <c r="BP44" i="2"/>
  <c r="BQ44" i="2"/>
  <c r="BR44" i="2"/>
  <c r="BS44" i="2"/>
  <c r="BT44" i="2"/>
  <c r="BU44" i="2"/>
  <c r="BV44" i="2"/>
  <c r="BW44" i="2"/>
  <c r="BX44" i="2"/>
  <c r="AI45" i="2"/>
  <c r="AJ45" i="2"/>
  <c r="AK45" i="2"/>
  <c r="AL45" i="2"/>
  <c r="AM45" i="2"/>
  <c r="AN45" i="2"/>
  <c r="AO45" i="2"/>
  <c r="AP45" i="2"/>
  <c r="AQ45" i="2"/>
  <c r="AR45" i="2"/>
  <c r="AS45" i="2"/>
  <c r="AT45" i="2"/>
  <c r="AU45" i="2"/>
  <c r="AV45" i="2"/>
  <c r="AW45" i="2"/>
  <c r="AX45" i="2"/>
  <c r="AY45" i="2"/>
  <c r="AZ45" i="2"/>
  <c r="BA45" i="2"/>
  <c r="BB45" i="2"/>
  <c r="BC45" i="2"/>
  <c r="BD45" i="2"/>
  <c r="BE45" i="2"/>
  <c r="BF45" i="2"/>
  <c r="BG45" i="2"/>
  <c r="BH45" i="2"/>
  <c r="BI45" i="2"/>
  <c r="BJ45" i="2"/>
  <c r="BK45" i="2"/>
  <c r="BL45" i="2"/>
  <c r="BM45" i="2"/>
  <c r="BN45" i="2"/>
  <c r="BO45" i="2"/>
  <c r="BP45" i="2"/>
  <c r="BQ45" i="2"/>
  <c r="BR45" i="2"/>
  <c r="BS45" i="2"/>
  <c r="BT45" i="2"/>
  <c r="BU45" i="2"/>
  <c r="BV45" i="2"/>
  <c r="BW45" i="2"/>
  <c r="BX45" i="2"/>
  <c r="AI46" i="2"/>
  <c r="AJ46" i="2"/>
  <c r="AK46" i="2"/>
  <c r="AL46" i="2"/>
  <c r="AM46" i="2"/>
  <c r="AN46" i="2"/>
  <c r="AO46" i="2"/>
  <c r="AP46" i="2"/>
  <c r="AQ46" i="2"/>
  <c r="AR46" i="2"/>
  <c r="AS46" i="2"/>
  <c r="AT46" i="2"/>
  <c r="AU46" i="2"/>
  <c r="AV46" i="2"/>
  <c r="AW46" i="2"/>
  <c r="AX46" i="2"/>
  <c r="AY46" i="2"/>
  <c r="AZ46" i="2"/>
  <c r="BA46" i="2"/>
  <c r="BB46" i="2"/>
  <c r="BC46" i="2"/>
  <c r="BD46" i="2"/>
  <c r="BE46" i="2"/>
  <c r="BF46" i="2"/>
  <c r="BG46" i="2"/>
  <c r="BH46" i="2"/>
  <c r="BI46" i="2"/>
  <c r="BJ46" i="2"/>
  <c r="BK46" i="2"/>
  <c r="BL46" i="2"/>
  <c r="BM46" i="2"/>
  <c r="BN46" i="2"/>
  <c r="BO46" i="2"/>
  <c r="BP46" i="2"/>
  <c r="BQ46" i="2"/>
  <c r="BR46" i="2"/>
  <c r="BS46" i="2"/>
  <c r="BT46" i="2"/>
  <c r="BU46" i="2"/>
  <c r="BV46" i="2"/>
  <c r="BW46" i="2"/>
  <c r="BX46" i="2"/>
  <c r="AI47" i="2"/>
  <c r="AJ47" i="2"/>
  <c r="AK47" i="2"/>
  <c r="AL47" i="2"/>
  <c r="AM47" i="2"/>
  <c r="AN47" i="2"/>
  <c r="AO47" i="2"/>
  <c r="AP47" i="2"/>
  <c r="AQ47" i="2"/>
  <c r="AR47" i="2"/>
  <c r="AS47" i="2"/>
  <c r="AT47" i="2"/>
  <c r="AU47" i="2"/>
  <c r="AV47" i="2"/>
  <c r="AW47" i="2"/>
  <c r="AX47" i="2"/>
  <c r="AY47" i="2"/>
  <c r="AZ47" i="2"/>
  <c r="BA47" i="2"/>
  <c r="BB47" i="2"/>
  <c r="BC47" i="2"/>
  <c r="BD47" i="2"/>
  <c r="BE47" i="2"/>
  <c r="BF47" i="2"/>
  <c r="BG47" i="2"/>
  <c r="BH47" i="2"/>
  <c r="BI47" i="2"/>
  <c r="BJ47" i="2"/>
  <c r="BK47" i="2"/>
  <c r="BL47" i="2"/>
  <c r="BM47" i="2"/>
  <c r="BN47" i="2"/>
  <c r="BO47" i="2"/>
  <c r="BP47" i="2"/>
  <c r="BQ47" i="2"/>
  <c r="BR47" i="2"/>
  <c r="BS47" i="2"/>
  <c r="BT47" i="2"/>
  <c r="BU47" i="2"/>
  <c r="BV47" i="2"/>
  <c r="BW47" i="2"/>
  <c r="BX47" i="2"/>
  <c r="AI48" i="2"/>
  <c r="AJ48" i="2"/>
  <c r="AK48" i="2"/>
  <c r="AL48" i="2"/>
  <c r="AM48" i="2"/>
  <c r="AN48" i="2"/>
  <c r="AO48" i="2"/>
  <c r="AP48" i="2"/>
  <c r="AQ48" i="2"/>
  <c r="AR48" i="2"/>
  <c r="AS48" i="2"/>
  <c r="AT48" i="2"/>
  <c r="AU48" i="2"/>
  <c r="AV48" i="2"/>
  <c r="AW48" i="2"/>
  <c r="AX48" i="2"/>
  <c r="AY48" i="2"/>
  <c r="AZ48" i="2"/>
  <c r="BA48" i="2"/>
  <c r="BB48" i="2"/>
  <c r="BC48" i="2"/>
  <c r="BD48" i="2"/>
  <c r="BE48" i="2"/>
  <c r="BF48" i="2"/>
  <c r="BG48" i="2"/>
  <c r="BH48" i="2"/>
  <c r="BI48" i="2"/>
  <c r="BJ48" i="2"/>
  <c r="BK48" i="2"/>
  <c r="BL48" i="2"/>
  <c r="BM48" i="2"/>
  <c r="BN48" i="2"/>
  <c r="BO48" i="2"/>
  <c r="BP48" i="2"/>
  <c r="BQ48" i="2"/>
  <c r="BR48" i="2"/>
  <c r="BS48" i="2"/>
  <c r="BT48" i="2"/>
  <c r="BU48" i="2"/>
  <c r="BV48" i="2"/>
  <c r="BW48" i="2"/>
  <c r="BX48" i="2"/>
  <c r="AI49" i="2"/>
  <c r="AJ49" i="2"/>
  <c r="AK49" i="2"/>
  <c r="AL49" i="2"/>
  <c r="AM49" i="2"/>
  <c r="AN49" i="2"/>
  <c r="AO49" i="2"/>
  <c r="AP49" i="2"/>
  <c r="AQ49" i="2"/>
  <c r="AR49" i="2"/>
  <c r="AS49" i="2"/>
  <c r="AT49" i="2"/>
  <c r="AU49" i="2"/>
  <c r="AV49" i="2"/>
  <c r="AW49" i="2"/>
  <c r="AX49" i="2"/>
  <c r="AY49" i="2"/>
  <c r="AZ49" i="2"/>
  <c r="BA49" i="2"/>
  <c r="BB49" i="2"/>
  <c r="BC49" i="2"/>
  <c r="BD49" i="2"/>
  <c r="BE49" i="2"/>
  <c r="BF49" i="2"/>
  <c r="BG49" i="2"/>
  <c r="BH49" i="2"/>
  <c r="BI49" i="2"/>
  <c r="BJ49" i="2"/>
  <c r="BK49" i="2"/>
  <c r="BL49" i="2"/>
  <c r="BM49" i="2"/>
  <c r="BN49" i="2"/>
  <c r="BO49" i="2"/>
  <c r="BP49" i="2"/>
  <c r="BQ49" i="2"/>
  <c r="BR49" i="2"/>
  <c r="BS49" i="2"/>
  <c r="BT49" i="2"/>
  <c r="BU49" i="2"/>
  <c r="BV49" i="2"/>
  <c r="BW49" i="2"/>
  <c r="BX49" i="2"/>
  <c r="AI50" i="2"/>
  <c r="AJ50" i="2"/>
  <c r="AK50" i="2"/>
  <c r="AL50" i="2"/>
  <c r="AM50" i="2"/>
  <c r="AN50" i="2"/>
  <c r="AO50" i="2"/>
  <c r="AP50" i="2"/>
  <c r="AQ50" i="2"/>
  <c r="AR50" i="2"/>
  <c r="AS50" i="2"/>
  <c r="AT50" i="2"/>
  <c r="AU50" i="2"/>
  <c r="AV50" i="2"/>
  <c r="AW50" i="2"/>
  <c r="AX50" i="2"/>
  <c r="AY50" i="2"/>
  <c r="AZ50" i="2"/>
  <c r="BA50" i="2"/>
  <c r="BB50" i="2"/>
  <c r="BC50" i="2"/>
  <c r="BD50" i="2"/>
  <c r="BE50" i="2"/>
  <c r="BF50" i="2"/>
  <c r="BG50" i="2"/>
  <c r="BH50" i="2"/>
  <c r="BI50" i="2"/>
  <c r="BJ50" i="2"/>
  <c r="BK50" i="2"/>
  <c r="BL50" i="2"/>
  <c r="BM50" i="2"/>
  <c r="BN50" i="2"/>
  <c r="BO50" i="2"/>
  <c r="BP50" i="2"/>
  <c r="BQ50" i="2"/>
  <c r="BR50" i="2"/>
  <c r="BS50" i="2"/>
  <c r="BT50" i="2"/>
  <c r="BU50" i="2"/>
  <c r="BV50" i="2"/>
  <c r="BW50" i="2"/>
  <c r="BX50" i="2"/>
  <c r="AI51" i="2"/>
  <c r="AJ51" i="2"/>
  <c r="AK51" i="2"/>
  <c r="AL51" i="2"/>
  <c r="AM51" i="2"/>
  <c r="AN51" i="2"/>
  <c r="AO51" i="2"/>
  <c r="AP51" i="2"/>
  <c r="AQ51" i="2"/>
  <c r="AR51" i="2"/>
  <c r="AS51" i="2"/>
  <c r="AT51" i="2"/>
  <c r="AU51" i="2"/>
  <c r="AV51" i="2"/>
  <c r="AW51" i="2"/>
  <c r="AX51" i="2"/>
  <c r="AY51" i="2"/>
  <c r="AZ51" i="2"/>
  <c r="BA51" i="2"/>
  <c r="BB51" i="2"/>
  <c r="BC51" i="2"/>
  <c r="BD51" i="2"/>
  <c r="BE51" i="2"/>
  <c r="BF51" i="2"/>
  <c r="BG51" i="2"/>
  <c r="BH51" i="2"/>
  <c r="BI51" i="2"/>
  <c r="BJ51" i="2"/>
  <c r="BK51" i="2"/>
  <c r="BL51" i="2"/>
  <c r="BM51" i="2"/>
  <c r="BN51" i="2"/>
  <c r="BO51" i="2"/>
  <c r="BP51" i="2"/>
  <c r="BQ51" i="2"/>
  <c r="BR51" i="2"/>
  <c r="BS51" i="2"/>
  <c r="BT51" i="2"/>
  <c r="BU51" i="2"/>
  <c r="BV51" i="2"/>
  <c r="BW51" i="2"/>
  <c r="BX51" i="2"/>
  <c r="AI52" i="2"/>
  <c r="AJ52" i="2"/>
  <c r="AK52" i="2"/>
  <c r="AL52" i="2"/>
  <c r="AM52" i="2"/>
  <c r="AN52" i="2"/>
  <c r="AO52" i="2"/>
  <c r="AP52" i="2"/>
  <c r="AQ52" i="2"/>
  <c r="AR52" i="2"/>
  <c r="AS52" i="2"/>
  <c r="AT52" i="2"/>
  <c r="AU52" i="2"/>
  <c r="AV52" i="2"/>
  <c r="AW52" i="2"/>
  <c r="AX52" i="2"/>
  <c r="AY52" i="2"/>
  <c r="AZ52" i="2"/>
  <c r="BA52" i="2"/>
  <c r="BB52" i="2"/>
  <c r="BC52" i="2"/>
  <c r="BD52" i="2"/>
  <c r="BE52" i="2"/>
  <c r="BF52" i="2"/>
  <c r="BG52" i="2"/>
  <c r="BH52" i="2"/>
  <c r="BI52" i="2"/>
  <c r="BJ52" i="2"/>
  <c r="BK52" i="2"/>
  <c r="BL52" i="2"/>
  <c r="BM52" i="2"/>
  <c r="BN52" i="2"/>
  <c r="BO52" i="2"/>
  <c r="BP52" i="2"/>
  <c r="BQ52" i="2"/>
  <c r="BR52" i="2"/>
  <c r="BS52" i="2"/>
  <c r="BT52" i="2"/>
  <c r="BU52" i="2"/>
  <c r="BV52" i="2"/>
  <c r="BW52" i="2"/>
  <c r="BX52" i="2"/>
  <c r="AI53" i="2"/>
  <c r="AJ53" i="2"/>
  <c r="AK53" i="2"/>
  <c r="AL53" i="2"/>
  <c r="AM53" i="2"/>
  <c r="AN53" i="2"/>
  <c r="AO53" i="2"/>
  <c r="AP53" i="2"/>
  <c r="AQ53" i="2"/>
  <c r="AR53" i="2"/>
  <c r="AS53" i="2"/>
  <c r="AT53" i="2"/>
  <c r="AU53" i="2"/>
  <c r="AV53" i="2"/>
  <c r="AW53" i="2"/>
  <c r="AX53" i="2"/>
  <c r="AY53" i="2"/>
  <c r="AZ53" i="2"/>
  <c r="BA53" i="2"/>
  <c r="BB53" i="2"/>
  <c r="BC53" i="2"/>
  <c r="BD53" i="2"/>
  <c r="BE53" i="2"/>
  <c r="BF53" i="2"/>
  <c r="BG53" i="2"/>
  <c r="BH53" i="2"/>
  <c r="BI53" i="2"/>
  <c r="BJ53" i="2"/>
  <c r="BK53" i="2"/>
  <c r="BL53" i="2"/>
  <c r="BM53" i="2"/>
  <c r="BN53" i="2"/>
  <c r="BO53" i="2"/>
  <c r="BP53" i="2"/>
  <c r="BQ53" i="2"/>
  <c r="BR53" i="2"/>
  <c r="BS53" i="2"/>
  <c r="BT53" i="2"/>
  <c r="BU53" i="2"/>
  <c r="BV53" i="2"/>
  <c r="BW53" i="2"/>
  <c r="BX53" i="2"/>
  <c r="AI54" i="2"/>
  <c r="AJ54" i="2"/>
  <c r="AK54" i="2"/>
  <c r="AL54" i="2"/>
  <c r="AM54" i="2"/>
  <c r="AN54" i="2"/>
  <c r="AO54" i="2"/>
  <c r="AP54" i="2"/>
  <c r="AQ54" i="2"/>
  <c r="AR54" i="2"/>
  <c r="AS54" i="2"/>
  <c r="AT54" i="2"/>
  <c r="AU54" i="2"/>
  <c r="AV54" i="2"/>
  <c r="AW54" i="2"/>
  <c r="AX54" i="2"/>
  <c r="AY54" i="2"/>
  <c r="AZ54" i="2"/>
  <c r="BA54" i="2"/>
  <c r="BB54" i="2"/>
  <c r="BC54" i="2"/>
  <c r="BD54" i="2"/>
  <c r="BE54" i="2"/>
  <c r="BF54" i="2"/>
  <c r="BG54" i="2"/>
  <c r="BH54" i="2"/>
  <c r="BI54" i="2"/>
  <c r="BJ54" i="2"/>
  <c r="BK54" i="2"/>
  <c r="BL54" i="2"/>
  <c r="BM54" i="2"/>
  <c r="BN54" i="2"/>
  <c r="BO54" i="2"/>
  <c r="BP54" i="2"/>
  <c r="BQ54" i="2"/>
  <c r="BR54" i="2"/>
  <c r="BS54" i="2"/>
  <c r="BT54" i="2"/>
  <c r="BU54" i="2"/>
  <c r="BV54" i="2"/>
  <c r="BW54" i="2"/>
  <c r="BX54" i="2"/>
  <c r="AI55" i="2"/>
  <c r="AJ55" i="2"/>
  <c r="AK55" i="2"/>
  <c r="AL55" i="2"/>
  <c r="AM55" i="2"/>
  <c r="AN55" i="2"/>
  <c r="AO55" i="2"/>
  <c r="AP55" i="2"/>
  <c r="AQ55" i="2"/>
  <c r="AR55" i="2"/>
  <c r="AS55" i="2"/>
  <c r="AT55" i="2"/>
  <c r="AU55" i="2"/>
  <c r="AV55" i="2"/>
  <c r="AW55" i="2"/>
  <c r="AX55" i="2"/>
  <c r="AY55" i="2"/>
  <c r="AZ55" i="2"/>
  <c r="BA55" i="2"/>
  <c r="BB55" i="2"/>
  <c r="BC55" i="2"/>
  <c r="BD55" i="2"/>
  <c r="BE55" i="2"/>
  <c r="BF55" i="2"/>
  <c r="BG55" i="2"/>
  <c r="BH55" i="2"/>
  <c r="BI55" i="2"/>
  <c r="BJ55" i="2"/>
  <c r="BK55" i="2"/>
  <c r="BL55" i="2"/>
  <c r="BM55" i="2"/>
  <c r="BN55" i="2"/>
  <c r="BO55" i="2"/>
  <c r="BP55" i="2"/>
  <c r="BQ55" i="2"/>
  <c r="BR55" i="2"/>
  <c r="BS55" i="2"/>
  <c r="BT55" i="2"/>
  <c r="BU55" i="2"/>
  <c r="BV55" i="2"/>
  <c r="BW55" i="2"/>
  <c r="BX55" i="2"/>
  <c r="AI56" i="2"/>
  <c r="AJ56" i="2"/>
  <c r="AK56" i="2"/>
  <c r="AL56" i="2"/>
  <c r="AM56" i="2"/>
  <c r="AN56" i="2"/>
  <c r="AO56" i="2"/>
  <c r="AP56" i="2"/>
  <c r="AQ56" i="2"/>
  <c r="AR56" i="2"/>
  <c r="AS56" i="2"/>
  <c r="AT56" i="2"/>
  <c r="AU56" i="2"/>
  <c r="AV56" i="2"/>
  <c r="AW56" i="2"/>
  <c r="AX56" i="2"/>
  <c r="AY56" i="2"/>
  <c r="AZ56" i="2"/>
  <c r="BA56" i="2"/>
  <c r="BB56" i="2"/>
  <c r="BC56" i="2"/>
  <c r="BD56" i="2"/>
  <c r="BE56" i="2"/>
  <c r="BF56" i="2"/>
  <c r="BG56" i="2"/>
  <c r="BH56" i="2"/>
  <c r="BI56" i="2"/>
  <c r="BJ56" i="2"/>
  <c r="BK56" i="2"/>
  <c r="BL56" i="2"/>
  <c r="BM56" i="2"/>
  <c r="BN56" i="2"/>
  <c r="BO56" i="2"/>
  <c r="BP56" i="2"/>
  <c r="BQ56" i="2"/>
  <c r="BR56" i="2"/>
  <c r="BS56" i="2"/>
  <c r="BT56" i="2"/>
  <c r="BU56" i="2"/>
  <c r="BV56" i="2"/>
  <c r="BW56" i="2"/>
  <c r="BX56" i="2"/>
  <c r="AI57" i="2"/>
  <c r="AJ57" i="2"/>
  <c r="AK57" i="2"/>
  <c r="AL57" i="2"/>
  <c r="AM57" i="2"/>
  <c r="AN57" i="2"/>
  <c r="AO57" i="2"/>
  <c r="AP57" i="2"/>
  <c r="AQ57" i="2"/>
  <c r="AR57" i="2"/>
  <c r="AS57" i="2"/>
  <c r="AT57" i="2"/>
  <c r="AU57" i="2"/>
  <c r="AV57" i="2"/>
  <c r="AW57" i="2"/>
  <c r="AX57" i="2"/>
  <c r="AY57" i="2"/>
  <c r="AZ57" i="2"/>
  <c r="BA57" i="2"/>
  <c r="BB57" i="2"/>
  <c r="BC57" i="2"/>
  <c r="BD57" i="2"/>
  <c r="BE57" i="2"/>
  <c r="BF57" i="2"/>
  <c r="BG57" i="2"/>
  <c r="BH57" i="2"/>
  <c r="BI57" i="2"/>
  <c r="BJ57" i="2"/>
  <c r="BK57" i="2"/>
  <c r="BL57" i="2"/>
  <c r="BM57" i="2"/>
  <c r="BN57" i="2"/>
  <c r="BO57" i="2"/>
  <c r="BP57" i="2"/>
  <c r="BQ57" i="2"/>
  <c r="BR57" i="2"/>
  <c r="BS57" i="2"/>
  <c r="BT57" i="2"/>
  <c r="BU57" i="2"/>
  <c r="BV57" i="2"/>
  <c r="BW57" i="2"/>
  <c r="BX57" i="2"/>
  <c r="AI58" i="2"/>
  <c r="AJ58" i="2"/>
  <c r="AK58" i="2"/>
  <c r="AL58" i="2"/>
  <c r="AM58" i="2"/>
  <c r="AN58" i="2"/>
  <c r="AO58" i="2"/>
  <c r="AP58" i="2"/>
  <c r="AQ58" i="2"/>
  <c r="AR58" i="2"/>
  <c r="AS58" i="2"/>
  <c r="AT58" i="2"/>
  <c r="AU58" i="2"/>
  <c r="AV58" i="2"/>
  <c r="AW58" i="2"/>
  <c r="AX58" i="2"/>
  <c r="AY58" i="2"/>
  <c r="AZ58" i="2"/>
  <c r="BA58" i="2"/>
  <c r="BB58" i="2"/>
  <c r="BC58" i="2"/>
  <c r="BD58" i="2"/>
  <c r="BE58" i="2"/>
  <c r="BF58" i="2"/>
  <c r="BG58" i="2"/>
  <c r="BH58" i="2"/>
  <c r="BI58" i="2"/>
  <c r="BJ58" i="2"/>
  <c r="BK58" i="2"/>
  <c r="BL58" i="2"/>
  <c r="BM58" i="2"/>
  <c r="BN58" i="2"/>
  <c r="BO58" i="2"/>
  <c r="BP58" i="2"/>
  <c r="BQ58" i="2"/>
  <c r="BR58" i="2"/>
  <c r="BS58" i="2"/>
  <c r="BT58" i="2"/>
  <c r="BU58" i="2"/>
  <c r="BV58" i="2"/>
  <c r="BW58" i="2"/>
  <c r="BX58" i="2"/>
  <c r="AI59" i="2"/>
  <c r="AJ59" i="2"/>
  <c r="AK59" i="2"/>
  <c r="AL59" i="2"/>
  <c r="AM59" i="2"/>
  <c r="AN59" i="2"/>
  <c r="AO59" i="2"/>
  <c r="AP59" i="2"/>
  <c r="AQ59" i="2"/>
  <c r="AR59" i="2"/>
  <c r="AS59" i="2"/>
  <c r="AT59" i="2"/>
  <c r="AU59" i="2"/>
  <c r="AV59" i="2"/>
  <c r="AW59" i="2"/>
  <c r="AX59" i="2"/>
  <c r="AY59" i="2"/>
  <c r="AZ59" i="2"/>
  <c r="BA59" i="2"/>
  <c r="BB59" i="2"/>
  <c r="BC59" i="2"/>
  <c r="BD59" i="2"/>
  <c r="BE59" i="2"/>
  <c r="BF59" i="2"/>
  <c r="BG59" i="2"/>
  <c r="BH59" i="2"/>
  <c r="BI59" i="2"/>
  <c r="BJ59" i="2"/>
  <c r="BK59" i="2"/>
  <c r="BL59" i="2"/>
  <c r="BM59" i="2"/>
  <c r="BN59" i="2"/>
  <c r="BO59" i="2"/>
  <c r="BP59" i="2"/>
  <c r="BQ59" i="2"/>
  <c r="BR59" i="2"/>
  <c r="BS59" i="2"/>
  <c r="BT59" i="2"/>
  <c r="BU59" i="2"/>
  <c r="BV59" i="2"/>
  <c r="BW59" i="2"/>
  <c r="BX59" i="2"/>
  <c r="AI60" i="2"/>
  <c r="AJ60" i="2"/>
  <c r="AK60" i="2"/>
  <c r="AL60" i="2"/>
  <c r="AM60" i="2"/>
  <c r="AN60" i="2"/>
  <c r="AO60" i="2"/>
  <c r="AP60" i="2"/>
  <c r="AQ60" i="2"/>
  <c r="AR60" i="2"/>
  <c r="AS60" i="2"/>
  <c r="AT60" i="2"/>
  <c r="AU60" i="2"/>
  <c r="AV60" i="2"/>
  <c r="AW60" i="2"/>
  <c r="AX60" i="2"/>
  <c r="AY60" i="2"/>
  <c r="AZ60" i="2"/>
  <c r="BA60" i="2"/>
  <c r="BB60" i="2"/>
  <c r="BC60" i="2"/>
  <c r="BD60" i="2"/>
  <c r="BE60" i="2"/>
  <c r="BF60" i="2"/>
  <c r="BG60" i="2"/>
  <c r="BH60" i="2"/>
  <c r="BI60" i="2"/>
  <c r="BJ60" i="2"/>
  <c r="BK60" i="2"/>
  <c r="BL60" i="2"/>
  <c r="BM60" i="2"/>
  <c r="BN60" i="2"/>
  <c r="BO60" i="2"/>
  <c r="BP60" i="2"/>
  <c r="BQ60" i="2"/>
  <c r="BR60" i="2"/>
  <c r="BS60" i="2"/>
  <c r="BT60" i="2"/>
  <c r="BU60" i="2"/>
  <c r="BV60" i="2"/>
  <c r="BW60" i="2"/>
  <c r="BX60" i="2"/>
  <c r="AI61" i="2"/>
  <c r="AJ61" i="2"/>
  <c r="AK61" i="2"/>
  <c r="AL61" i="2"/>
  <c r="AM61" i="2"/>
  <c r="AN61" i="2"/>
  <c r="AO61" i="2"/>
  <c r="AP61" i="2"/>
  <c r="AQ61" i="2"/>
  <c r="AR61" i="2"/>
  <c r="AS61" i="2"/>
  <c r="AT61" i="2"/>
  <c r="AU61" i="2"/>
  <c r="AV61" i="2"/>
  <c r="AW61" i="2"/>
  <c r="AX61" i="2"/>
  <c r="AY61" i="2"/>
  <c r="AZ61" i="2"/>
  <c r="BA61" i="2"/>
  <c r="BB61" i="2"/>
  <c r="BC61" i="2"/>
  <c r="BD61" i="2"/>
  <c r="BE61" i="2"/>
  <c r="BF61" i="2"/>
  <c r="BG61" i="2"/>
  <c r="BH61" i="2"/>
  <c r="BI61" i="2"/>
  <c r="BJ61" i="2"/>
  <c r="BK61" i="2"/>
  <c r="BL61" i="2"/>
  <c r="BM61" i="2"/>
  <c r="BN61" i="2"/>
  <c r="BO61" i="2"/>
  <c r="BP61" i="2"/>
  <c r="BQ61" i="2"/>
  <c r="BR61" i="2"/>
  <c r="BS61" i="2"/>
  <c r="BT61" i="2"/>
  <c r="BU61" i="2"/>
  <c r="BV61" i="2"/>
  <c r="BW61" i="2"/>
  <c r="BX61" i="2"/>
  <c r="AI62" i="2"/>
  <c r="AJ62" i="2"/>
  <c r="AK62" i="2"/>
  <c r="AL62" i="2"/>
  <c r="AM62" i="2"/>
  <c r="AN62" i="2"/>
  <c r="AO62" i="2"/>
  <c r="AP62" i="2"/>
  <c r="AQ62" i="2"/>
  <c r="AR62" i="2"/>
  <c r="AS62" i="2"/>
  <c r="AT62" i="2"/>
  <c r="AU62" i="2"/>
  <c r="AV62" i="2"/>
  <c r="AW62" i="2"/>
  <c r="AX62" i="2"/>
  <c r="AY62" i="2"/>
  <c r="AZ62" i="2"/>
  <c r="BA62" i="2"/>
  <c r="BB62" i="2"/>
  <c r="BC62" i="2"/>
  <c r="BD62" i="2"/>
  <c r="BE62" i="2"/>
  <c r="BF62" i="2"/>
  <c r="BG62" i="2"/>
  <c r="BH62" i="2"/>
  <c r="BI62" i="2"/>
  <c r="BJ62" i="2"/>
  <c r="BK62" i="2"/>
  <c r="BL62" i="2"/>
  <c r="BM62" i="2"/>
  <c r="BN62" i="2"/>
  <c r="BO62" i="2"/>
  <c r="BP62" i="2"/>
  <c r="BQ62" i="2"/>
  <c r="BR62" i="2"/>
  <c r="BS62" i="2"/>
  <c r="BT62" i="2"/>
  <c r="BU62" i="2"/>
  <c r="BV62" i="2"/>
  <c r="BW62" i="2"/>
  <c r="BX62" i="2"/>
  <c r="AI63" i="2"/>
  <c r="AJ63" i="2"/>
  <c r="AK63" i="2"/>
  <c r="AL63" i="2"/>
  <c r="AM63" i="2"/>
  <c r="AN63" i="2"/>
  <c r="AO63" i="2"/>
  <c r="AP63" i="2"/>
  <c r="AQ63" i="2"/>
  <c r="AR63" i="2"/>
  <c r="AS63" i="2"/>
  <c r="AT63" i="2"/>
  <c r="AU63" i="2"/>
  <c r="AV63" i="2"/>
  <c r="AW63" i="2"/>
  <c r="AX63" i="2"/>
  <c r="AY63" i="2"/>
  <c r="AZ63" i="2"/>
  <c r="BA63" i="2"/>
  <c r="BB63" i="2"/>
  <c r="BC63" i="2"/>
  <c r="BD63" i="2"/>
  <c r="BE63" i="2"/>
  <c r="BF63" i="2"/>
  <c r="BG63" i="2"/>
  <c r="BH63" i="2"/>
  <c r="BI63" i="2"/>
  <c r="BJ63" i="2"/>
  <c r="BK63" i="2"/>
  <c r="BL63" i="2"/>
  <c r="BM63" i="2"/>
  <c r="BN63" i="2"/>
  <c r="BO63" i="2"/>
  <c r="BP63" i="2"/>
  <c r="BQ63" i="2"/>
  <c r="BR63" i="2"/>
  <c r="BS63" i="2"/>
  <c r="BT63" i="2"/>
  <c r="BU63" i="2"/>
  <c r="BV63" i="2"/>
  <c r="BW63" i="2"/>
  <c r="BX63" i="2"/>
  <c r="AI64" i="2"/>
  <c r="AJ64" i="2"/>
  <c r="AK64" i="2"/>
  <c r="AL64" i="2"/>
  <c r="AM64" i="2"/>
  <c r="AN64" i="2"/>
  <c r="AO64" i="2"/>
  <c r="AP64" i="2"/>
  <c r="AQ64" i="2"/>
  <c r="AR64" i="2"/>
  <c r="AS64" i="2"/>
  <c r="AT64" i="2"/>
  <c r="AU64" i="2"/>
  <c r="AV64" i="2"/>
  <c r="AW64" i="2"/>
  <c r="AX64" i="2"/>
  <c r="AY64" i="2"/>
  <c r="AZ64" i="2"/>
  <c r="BA64" i="2"/>
  <c r="BB64" i="2"/>
  <c r="BC64" i="2"/>
  <c r="BD64" i="2"/>
  <c r="BE64" i="2"/>
  <c r="BF64" i="2"/>
  <c r="BG64" i="2"/>
  <c r="BH64" i="2"/>
  <c r="BI64" i="2"/>
  <c r="BJ64" i="2"/>
  <c r="BK64" i="2"/>
  <c r="BL64" i="2"/>
  <c r="BM64" i="2"/>
  <c r="BN64" i="2"/>
  <c r="BO64" i="2"/>
  <c r="BP64" i="2"/>
  <c r="BQ64" i="2"/>
  <c r="BR64" i="2"/>
  <c r="BS64" i="2"/>
  <c r="BT64" i="2"/>
  <c r="BU64" i="2"/>
  <c r="BV64" i="2"/>
  <c r="BW64" i="2"/>
  <c r="BX64" i="2"/>
  <c r="AI65" i="2"/>
  <c r="AJ65" i="2"/>
  <c r="AK65" i="2"/>
  <c r="AL65" i="2"/>
  <c r="AM65" i="2"/>
  <c r="AN65" i="2"/>
  <c r="AO65" i="2"/>
  <c r="AP65" i="2"/>
  <c r="AQ65" i="2"/>
  <c r="AR65" i="2"/>
  <c r="AS65" i="2"/>
  <c r="AT65" i="2"/>
  <c r="AU65" i="2"/>
  <c r="AV65" i="2"/>
  <c r="AW65" i="2"/>
  <c r="AX65" i="2"/>
  <c r="AY65" i="2"/>
  <c r="AZ65" i="2"/>
  <c r="BA65" i="2"/>
  <c r="BB65" i="2"/>
  <c r="BC65" i="2"/>
  <c r="BD65" i="2"/>
  <c r="BE65" i="2"/>
  <c r="BF65" i="2"/>
  <c r="BG65" i="2"/>
  <c r="BH65" i="2"/>
  <c r="BI65" i="2"/>
  <c r="BJ65" i="2"/>
  <c r="BK65" i="2"/>
  <c r="BL65" i="2"/>
  <c r="BM65" i="2"/>
  <c r="BN65" i="2"/>
  <c r="BO65" i="2"/>
  <c r="BP65" i="2"/>
  <c r="BQ65" i="2"/>
  <c r="BR65" i="2"/>
  <c r="BS65" i="2"/>
  <c r="BT65" i="2"/>
  <c r="BU65" i="2"/>
  <c r="BV65" i="2"/>
  <c r="BW65" i="2"/>
  <c r="BX65" i="2"/>
  <c r="AI66" i="2"/>
  <c r="AJ66" i="2"/>
  <c r="AK66" i="2"/>
  <c r="AL66" i="2"/>
  <c r="AM66" i="2"/>
  <c r="AN66" i="2"/>
  <c r="AO66" i="2"/>
  <c r="AP66" i="2"/>
  <c r="AQ66" i="2"/>
  <c r="AR66" i="2"/>
  <c r="AS66" i="2"/>
  <c r="AT66" i="2"/>
  <c r="AU66" i="2"/>
  <c r="AV66" i="2"/>
  <c r="AW66" i="2"/>
  <c r="AX66" i="2"/>
  <c r="AY66" i="2"/>
  <c r="AZ66" i="2"/>
  <c r="BA66" i="2"/>
  <c r="BB66" i="2"/>
  <c r="BC66" i="2"/>
  <c r="BD66" i="2"/>
  <c r="BE66" i="2"/>
  <c r="BF66" i="2"/>
  <c r="BG66" i="2"/>
  <c r="BH66" i="2"/>
  <c r="BI66" i="2"/>
  <c r="BJ66" i="2"/>
  <c r="BK66" i="2"/>
  <c r="BL66" i="2"/>
  <c r="BM66" i="2"/>
  <c r="BN66" i="2"/>
  <c r="BO66" i="2"/>
  <c r="BP66" i="2"/>
  <c r="BQ66" i="2"/>
  <c r="BR66" i="2"/>
  <c r="BS66" i="2"/>
  <c r="BT66" i="2"/>
  <c r="BU66" i="2"/>
  <c r="BV66" i="2"/>
  <c r="BW66" i="2"/>
  <c r="BX66" i="2"/>
  <c r="AI67" i="2"/>
  <c r="AJ67" i="2"/>
  <c r="AK67" i="2"/>
  <c r="AL67" i="2"/>
  <c r="AM67" i="2"/>
  <c r="AN67" i="2"/>
  <c r="AO67" i="2"/>
  <c r="AP67" i="2"/>
  <c r="AQ67" i="2"/>
  <c r="AR67" i="2"/>
  <c r="AS67" i="2"/>
  <c r="AT67" i="2"/>
  <c r="AU67" i="2"/>
  <c r="AV67" i="2"/>
  <c r="AW67" i="2"/>
  <c r="AX67" i="2"/>
  <c r="AY67" i="2"/>
  <c r="AZ67" i="2"/>
  <c r="BA67" i="2"/>
  <c r="BB67" i="2"/>
  <c r="BC67" i="2"/>
  <c r="BD67" i="2"/>
  <c r="BE67" i="2"/>
  <c r="BF67" i="2"/>
  <c r="BG67" i="2"/>
  <c r="BH67" i="2"/>
  <c r="BI67" i="2"/>
  <c r="BJ67" i="2"/>
  <c r="BK67" i="2"/>
  <c r="BL67" i="2"/>
  <c r="BM67" i="2"/>
  <c r="BN67" i="2"/>
  <c r="BO67" i="2"/>
  <c r="BP67" i="2"/>
  <c r="BQ67" i="2"/>
  <c r="BR67" i="2"/>
  <c r="BS67" i="2"/>
  <c r="BT67" i="2"/>
  <c r="BU67" i="2"/>
  <c r="BV67" i="2"/>
  <c r="BW67" i="2"/>
  <c r="BX67" i="2"/>
  <c r="AI68" i="2"/>
  <c r="AJ68" i="2"/>
  <c r="AK68" i="2"/>
  <c r="AL68" i="2"/>
  <c r="AM68" i="2"/>
  <c r="AN68" i="2"/>
  <c r="AO68" i="2"/>
  <c r="AP68" i="2"/>
  <c r="AQ68" i="2"/>
  <c r="AR68" i="2"/>
  <c r="AS68" i="2"/>
  <c r="AT68" i="2"/>
  <c r="AU68" i="2"/>
  <c r="AV68" i="2"/>
  <c r="AW68" i="2"/>
  <c r="AX68" i="2"/>
  <c r="AY68" i="2"/>
  <c r="AZ68" i="2"/>
  <c r="BA68" i="2"/>
  <c r="BB68" i="2"/>
  <c r="BC68" i="2"/>
  <c r="BD68" i="2"/>
  <c r="BE68" i="2"/>
  <c r="BF68" i="2"/>
  <c r="BG68" i="2"/>
  <c r="BH68" i="2"/>
  <c r="BI68" i="2"/>
  <c r="BJ68" i="2"/>
  <c r="BK68" i="2"/>
  <c r="BL68" i="2"/>
  <c r="BM68" i="2"/>
  <c r="BN68" i="2"/>
  <c r="BO68" i="2"/>
  <c r="BP68" i="2"/>
  <c r="BQ68" i="2"/>
  <c r="BR68" i="2"/>
  <c r="BS68" i="2"/>
  <c r="BT68" i="2"/>
  <c r="BU68" i="2"/>
  <c r="BV68" i="2"/>
  <c r="BW68" i="2"/>
  <c r="BX68" i="2"/>
  <c r="AI69" i="2"/>
  <c r="AJ69" i="2"/>
  <c r="AK69" i="2"/>
  <c r="AL69" i="2"/>
  <c r="AM69" i="2"/>
  <c r="AN69" i="2"/>
  <c r="AO69" i="2"/>
  <c r="AP69" i="2"/>
  <c r="AQ69" i="2"/>
  <c r="AR69" i="2"/>
  <c r="AS69" i="2"/>
  <c r="AT69" i="2"/>
  <c r="AU69" i="2"/>
  <c r="AV69" i="2"/>
  <c r="AW69" i="2"/>
  <c r="AX69" i="2"/>
  <c r="AY69" i="2"/>
  <c r="AZ69" i="2"/>
  <c r="BA69" i="2"/>
  <c r="BB69" i="2"/>
  <c r="BC69" i="2"/>
  <c r="BD69" i="2"/>
  <c r="BE69" i="2"/>
  <c r="BF69" i="2"/>
  <c r="BG69" i="2"/>
  <c r="BH69" i="2"/>
  <c r="BI69" i="2"/>
  <c r="BJ69" i="2"/>
  <c r="BK69" i="2"/>
  <c r="BL69" i="2"/>
  <c r="BM69" i="2"/>
  <c r="BN69" i="2"/>
  <c r="BO69" i="2"/>
  <c r="BP69" i="2"/>
  <c r="BQ69" i="2"/>
  <c r="BR69" i="2"/>
  <c r="BS69" i="2"/>
  <c r="BT69" i="2"/>
  <c r="BU69" i="2"/>
  <c r="BV69" i="2"/>
  <c r="BW69" i="2"/>
  <c r="BX69" i="2"/>
  <c r="AI70" i="2"/>
  <c r="AJ70" i="2"/>
  <c r="AK70" i="2"/>
  <c r="AL70" i="2"/>
  <c r="AM70" i="2"/>
  <c r="AN70" i="2"/>
  <c r="AO70" i="2"/>
  <c r="AP70" i="2"/>
  <c r="AQ70" i="2"/>
  <c r="AR70" i="2"/>
  <c r="AS70" i="2"/>
  <c r="AT70" i="2"/>
  <c r="AU70" i="2"/>
  <c r="AV70" i="2"/>
  <c r="AW70" i="2"/>
  <c r="AX70" i="2"/>
  <c r="AY70" i="2"/>
  <c r="AZ70" i="2"/>
  <c r="BA70" i="2"/>
  <c r="BB70" i="2"/>
  <c r="BC70" i="2"/>
  <c r="BD70" i="2"/>
  <c r="BE70" i="2"/>
  <c r="BF70" i="2"/>
  <c r="BG70" i="2"/>
  <c r="BH70" i="2"/>
  <c r="BI70" i="2"/>
  <c r="BJ70" i="2"/>
  <c r="BK70" i="2"/>
  <c r="BL70" i="2"/>
  <c r="BM70" i="2"/>
  <c r="BN70" i="2"/>
  <c r="BO70" i="2"/>
  <c r="BP70" i="2"/>
  <c r="BQ70" i="2"/>
  <c r="BR70" i="2"/>
  <c r="BS70" i="2"/>
  <c r="BT70" i="2"/>
  <c r="BU70" i="2"/>
  <c r="BV70" i="2"/>
  <c r="BW70" i="2"/>
  <c r="BX70" i="2"/>
  <c r="AI71" i="2"/>
  <c r="AJ71" i="2"/>
  <c r="AK71" i="2"/>
  <c r="AL71" i="2"/>
  <c r="AM71" i="2"/>
  <c r="AN71" i="2"/>
  <c r="AO71" i="2"/>
  <c r="AP71" i="2"/>
  <c r="AQ71" i="2"/>
  <c r="AR71" i="2"/>
  <c r="AS71" i="2"/>
  <c r="AT71" i="2"/>
  <c r="AU71" i="2"/>
  <c r="AV71" i="2"/>
  <c r="AW71" i="2"/>
  <c r="AX71" i="2"/>
  <c r="AY71" i="2"/>
  <c r="AZ71" i="2"/>
  <c r="BA71" i="2"/>
  <c r="BB71" i="2"/>
  <c r="BC71" i="2"/>
  <c r="BD71" i="2"/>
  <c r="BE71" i="2"/>
  <c r="BF71" i="2"/>
  <c r="BG71" i="2"/>
  <c r="BH71" i="2"/>
  <c r="BI71" i="2"/>
  <c r="BJ71" i="2"/>
  <c r="BK71" i="2"/>
  <c r="BL71" i="2"/>
  <c r="BM71" i="2"/>
  <c r="BN71" i="2"/>
  <c r="BO71" i="2"/>
  <c r="BP71" i="2"/>
  <c r="BQ71" i="2"/>
  <c r="BR71" i="2"/>
  <c r="BS71" i="2"/>
  <c r="BT71" i="2"/>
  <c r="BU71" i="2"/>
  <c r="BV71" i="2"/>
  <c r="BW71" i="2"/>
  <c r="BX71" i="2"/>
  <c r="AI72" i="2"/>
  <c r="AJ72" i="2"/>
  <c r="AK72" i="2"/>
  <c r="AL72" i="2"/>
  <c r="AM72" i="2"/>
  <c r="AN72" i="2"/>
  <c r="AO72" i="2"/>
  <c r="AP72" i="2"/>
  <c r="AQ72" i="2"/>
  <c r="AR72" i="2"/>
  <c r="AS72" i="2"/>
  <c r="AT72" i="2"/>
  <c r="AU72" i="2"/>
  <c r="AV72" i="2"/>
  <c r="AW72" i="2"/>
  <c r="AX72" i="2"/>
  <c r="AY72" i="2"/>
  <c r="AZ72" i="2"/>
  <c r="BA72" i="2"/>
  <c r="BB72" i="2"/>
  <c r="BC72" i="2"/>
  <c r="BD72" i="2"/>
  <c r="BE72" i="2"/>
  <c r="BF72" i="2"/>
  <c r="BG72" i="2"/>
  <c r="BH72" i="2"/>
  <c r="BI72" i="2"/>
  <c r="BJ72" i="2"/>
  <c r="BK72" i="2"/>
  <c r="BL72" i="2"/>
  <c r="BM72" i="2"/>
  <c r="BN72" i="2"/>
  <c r="BO72" i="2"/>
  <c r="BP72" i="2"/>
  <c r="BQ72" i="2"/>
  <c r="BR72" i="2"/>
  <c r="BS72" i="2"/>
  <c r="BT72" i="2"/>
  <c r="BU72" i="2"/>
  <c r="BV72" i="2"/>
  <c r="BW72" i="2"/>
  <c r="BX72" i="2"/>
  <c r="AI73" i="2"/>
  <c r="AJ73" i="2"/>
  <c r="AK73" i="2"/>
  <c r="AL73" i="2"/>
  <c r="AM73" i="2"/>
  <c r="AN73" i="2"/>
  <c r="AO73" i="2"/>
  <c r="AP73" i="2"/>
  <c r="AQ73" i="2"/>
  <c r="AR73" i="2"/>
  <c r="AS73" i="2"/>
  <c r="AT73" i="2"/>
  <c r="AU73" i="2"/>
  <c r="AV73" i="2"/>
  <c r="AW73" i="2"/>
  <c r="AX73" i="2"/>
  <c r="AY73" i="2"/>
  <c r="AZ73" i="2"/>
  <c r="BA73" i="2"/>
  <c r="BB73" i="2"/>
  <c r="BC73" i="2"/>
  <c r="BD73" i="2"/>
  <c r="BE73" i="2"/>
  <c r="BF73" i="2"/>
  <c r="BG73" i="2"/>
  <c r="BH73" i="2"/>
  <c r="BI73" i="2"/>
  <c r="BJ73" i="2"/>
  <c r="BK73" i="2"/>
  <c r="BL73" i="2"/>
  <c r="BM73" i="2"/>
  <c r="BN73" i="2"/>
  <c r="BO73" i="2"/>
  <c r="BP73" i="2"/>
  <c r="BQ73" i="2"/>
  <c r="BR73" i="2"/>
  <c r="BS73" i="2"/>
  <c r="BT73" i="2"/>
  <c r="BU73" i="2"/>
  <c r="BV73" i="2"/>
  <c r="BW73" i="2"/>
  <c r="BX73" i="2"/>
  <c r="AI74" i="2"/>
  <c r="AJ74" i="2"/>
  <c r="AK74" i="2"/>
  <c r="AL74" i="2"/>
  <c r="AM74" i="2"/>
  <c r="AN74" i="2"/>
  <c r="AO74" i="2"/>
  <c r="AP74" i="2"/>
  <c r="AQ74" i="2"/>
  <c r="AR74" i="2"/>
  <c r="AS74" i="2"/>
  <c r="AT74" i="2"/>
  <c r="AU74" i="2"/>
  <c r="AV74" i="2"/>
  <c r="AW74" i="2"/>
  <c r="AX74" i="2"/>
  <c r="AY74" i="2"/>
  <c r="AZ74" i="2"/>
  <c r="BA74" i="2"/>
  <c r="BB74" i="2"/>
  <c r="BC74" i="2"/>
  <c r="BD74" i="2"/>
  <c r="BE74" i="2"/>
  <c r="BF74" i="2"/>
  <c r="BG74" i="2"/>
  <c r="BH74" i="2"/>
  <c r="BI74" i="2"/>
  <c r="BJ74" i="2"/>
  <c r="BK74" i="2"/>
  <c r="BL74" i="2"/>
  <c r="BM74" i="2"/>
  <c r="BN74" i="2"/>
  <c r="BO74" i="2"/>
  <c r="BP74" i="2"/>
  <c r="BQ74" i="2"/>
  <c r="BR74" i="2"/>
  <c r="BS74" i="2"/>
  <c r="BT74" i="2"/>
  <c r="BU74" i="2"/>
  <c r="BV74" i="2"/>
  <c r="BW74" i="2"/>
  <c r="BX74" i="2"/>
  <c r="AI75" i="2"/>
  <c r="AJ75" i="2"/>
  <c r="AK75" i="2"/>
  <c r="AL75" i="2"/>
  <c r="AM75" i="2"/>
  <c r="AN75" i="2"/>
  <c r="AO75" i="2"/>
  <c r="AP75" i="2"/>
  <c r="AQ75" i="2"/>
  <c r="AR75" i="2"/>
  <c r="AS75" i="2"/>
  <c r="AT75" i="2"/>
  <c r="AU75" i="2"/>
  <c r="AV75" i="2"/>
  <c r="AW75" i="2"/>
  <c r="AX75" i="2"/>
  <c r="AY75" i="2"/>
  <c r="AZ75" i="2"/>
  <c r="BA75" i="2"/>
  <c r="BB75" i="2"/>
  <c r="BC75" i="2"/>
  <c r="BD75" i="2"/>
  <c r="BE75" i="2"/>
  <c r="BF75" i="2"/>
  <c r="BG75" i="2"/>
  <c r="BH75" i="2"/>
  <c r="BI75" i="2"/>
  <c r="BJ75" i="2"/>
  <c r="BK75" i="2"/>
  <c r="BL75" i="2"/>
  <c r="BM75" i="2"/>
  <c r="BN75" i="2"/>
  <c r="BO75" i="2"/>
  <c r="BP75" i="2"/>
  <c r="BQ75" i="2"/>
  <c r="BR75" i="2"/>
  <c r="BS75" i="2"/>
  <c r="BT75" i="2"/>
  <c r="BU75" i="2"/>
  <c r="BV75" i="2"/>
  <c r="BW75" i="2"/>
  <c r="BX75" i="2"/>
  <c r="AI76" i="2"/>
  <c r="AJ76" i="2"/>
  <c r="AK76" i="2"/>
  <c r="AL76" i="2"/>
  <c r="AM76" i="2"/>
  <c r="AN76" i="2"/>
  <c r="AO76" i="2"/>
  <c r="AP76" i="2"/>
  <c r="AQ76" i="2"/>
  <c r="AR76" i="2"/>
  <c r="AS76" i="2"/>
  <c r="AT76" i="2"/>
  <c r="AU76" i="2"/>
  <c r="AV76" i="2"/>
  <c r="AW76" i="2"/>
  <c r="AX76" i="2"/>
  <c r="AY76" i="2"/>
  <c r="AZ76" i="2"/>
  <c r="BA76" i="2"/>
  <c r="BB76" i="2"/>
  <c r="BC76" i="2"/>
  <c r="BD76" i="2"/>
  <c r="BE76" i="2"/>
  <c r="BF76" i="2"/>
  <c r="BG76" i="2"/>
  <c r="BH76" i="2"/>
  <c r="BI76" i="2"/>
  <c r="BJ76" i="2"/>
  <c r="BK76" i="2"/>
  <c r="BL76" i="2"/>
  <c r="BM76" i="2"/>
  <c r="BN76" i="2"/>
  <c r="BO76" i="2"/>
  <c r="BP76" i="2"/>
  <c r="BQ76" i="2"/>
  <c r="BR76" i="2"/>
  <c r="BS76" i="2"/>
  <c r="BT76" i="2"/>
  <c r="BU76" i="2"/>
  <c r="BV76" i="2"/>
  <c r="BW76" i="2"/>
  <c r="BX76" i="2"/>
  <c r="AI77" i="2"/>
  <c r="AJ77" i="2"/>
  <c r="AK77" i="2"/>
  <c r="AL77" i="2"/>
  <c r="AM77" i="2"/>
  <c r="AN77" i="2"/>
  <c r="AO77" i="2"/>
  <c r="AP77" i="2"/>
  <c r="AQ77" i="2"/>
  <c r="AR77" i="2"/>
  <c r="AS77" i="2"/>
  <c r="AT77" i="2"/>
  <c r="AU77" i="2"/>
  <c r="AV77" i="2"/>
  <c r="AW77" i="2"/>
  <c r="AX77" i="2"/>
  <c r="AY77" i="2"/>
  <c r="AZ77" i="2"/>
  <c r="BA77" i="2"/>
  <c r="BB77" i="2"/>
  <c r="BC77" i="2"/>
  <c r="BD77" i="2"/>
  <c r="BE77" i="2"/>
  <c r="BF77" i="2"/>
  <c r="BG77" i="2"/>
  <c r="BH77" i="2"/>
  <c r="BI77" i="2"/>
  <c r="BJ77" i="2"/>
  <c r="BK77" i="2"/>
  <c r="BL77" i="2"/>
  <c r="BM77" i="2"/>
  <c r="BN77" i="2"/>
  <c r="BO77" i="2"/>
  <c r="BP77" i="2"/>
  <c r="BQ77" i="2"/>
  <c r="BR77" i="2"/>
  <c r="BS77" i="2"/>
  <c r="BT77" i="2"/>
  <c r="BU77" i="2"/>
  <c r="BV77" i="2"/>
  <c r="BW77" i="2"/>
  <c r="BX77" i="2"/>
  <c r="AI78" i="2"/>
  <c r="AJ78" i="2"/>
  <c r="AK78" i="2"/>
  <c r="AL78" i="2"/>
  <c r="AM78" i="2"/>
  <c r="AN78" i="2"/>
  <c r="AO78" i="2"/>
  <c r="AP78" i="2"/>
  <c r="AQ78" i="2"/>
  <c r="AR78" i="2"/>
  <c r="AS78" i="2"/>
  <c r="AT78" i="2"/>
  <c r="AU78" i="2"/>
  <c r="AV78" i="2"/>
  <c r="AW78" i="2"/>
  <c r="AX78" i="2"/>
  <c r="AY78" i="2"/>
  <c r="AZ78" i="2"/>
  <c r="BA78" i="2"/>
  <c r="BB78" i="2"/>
  <c r="BC78" i="2"/>
  <c r="BD78" i="2"/>
  <c r="BE78" i="2"/>
  <c r="BF78" i="2"/>
  <c r="BG78" i="2"/>
  <c r="BH78" i="2"/>
  <c r="BI78" i="2"/>
  <c r="BJ78" i="2"/>
  <c r="BK78" i="2"/>
  <c r="BL78" i="2"/>
  <c r="BM78" i="2"/>
  <c r="BN78" i="2"/>
  <c r="BO78" i="2"/>
  <c r="BP78" i="2"/>
  <c r="BQ78" i="2"/>
  <c r="BR78" i="2"/>
  <c r="BS78" i="2"/>
  <c r="BT78" i="2"/>
  <c r="BU78" i="2"/>
  <c r="BV78" i="2"/>
  <c r="BW78" i="2"/>
  <c r="BX78" i="2"/>
  <c r="AI79" i="2"/>
  <c r="AJ79" i="2"/>
  <c r="AK79" i="2"/>
  <c r="AL79" i="2"/>
  <c r="AM79" i="2"/>
  <c r="AN79" i="2"/>
  <c r="AO79" i="2"/>
  <c r="AP79" i="2"/>
  <c r="AQ79" i="2"/>
  <c r="AR79" i="2"/>
  <c r="AS79" i="2"/>
  <c r="AT79" i="2"/>
  <c r="AU79" i="2"/>
  <c r="AV79" i="2"/>
  <c r="AW79" i="2"/>
  <c r="AX79" i="2"/>
  <c r="AY79" i="2"/>
  <c r="AZ79" i="2"/>
  <c r="BA79" i="2"/>
  <c r="BB79" i="2"/>
  <c r="BC79" i="2"/>
  <c r="BD79" i="2"/>
  <c r="BE79" i="2"/>
  <c r="BF79" i="2"/>
  <c r="BG79" i="2"/>
  <c r="BH79" i="2"/>
  <c r="BI79" i="2"/>
  <c r="BJ79" i="2"/>
  <c r="BK79" i="2"/>
  <c r="BL79" i="2"/>
  <c r="BM79" i="2"/>
  <c r="BN79" i="2"/>
  <c r="BO79" i="2"/>
  <c r="BP79" i="2"/>
  <c r="BQ79" i="2"/>
  <c r="BR79" i="2"/>
  <c r="BS79" i="2"/>
  <c r="BT79" i="2"/>
  <c r="BU79" i="2"/>
  <c r="BV79" i="2"/>
  <c r="BW79" i="2"/>
  <c r="BX79" i="2"/>
  <c r="AI80" i="2"/>
  <c r="AJ80" i="2"/>
  <c r="AK80" i="2"/>
  <c r="AL80" i="2"/>
  <c r="AM80" i="2"/>
  <c r="AN80" i="2"/>
  <c r="AO80" i="2"/>
  <c r="AP80" i="2"/>
  <c r="AQ80" i="2"/>
  <c r="AR80" i="2"/>
  <c r="AS80" i="2"/>
  <c r="AT80" i="2"/>
  <c r="AU80" i="2"/>
  <c r="AV80" i="2"/>
  <c r="AW80" i="2"/>
  <c r="AX80" i="2"/>
  <c r="AY80" i="2"/>
  <c r="AZ80" i="2"/>
  <c r="BA80" i="2"/>
  <c r="BB80" i="2"/>
  <c r="BC80" i="2"/>
  <c r="BD80" i="2"/>
  <c r="BE80" i="2"/>
  <c r="BF80" i="2"/>
  <c r="BG80" i="2"/>
  <c r="BH80" i="2"/>
  <c r="BI80" i="2"/>
  <c r="BJ80" i="2"/>
  <c r="BK80" i="2"/>
  <c r="BL80" i="2"/>
  <c r="BM80" i="2"/>
  <c r="BN80" i="2"/>
  <c r="BO80" i="2"/>
  <c r="BP80" i="2"/>
  <c r="BQ80" i="2"/>
  <c r="BR80" i="2"/>
  <c r="BS80" i="2"/>
  <c r="BT80" i="2"/>
  <c r="BU80" i="2"/>
  <c r="BV80" i="2"/>
  <c r="BW80" i="2"/>
  <c r="BX80" i="2"/>
  <c r="AI81" i="2"/>
  <c r="AJ81" i="2"/>
  <c r="AK81" i="2"/>
  <c r="AL81" i="2"/>
  <c r="AM81" i="2"/>
  <c r="AN81" i="2"/>
  <c r="AO81" i="2"/>
  <c r="AP81" i="2"/>
  <c r="AQ81" i="2"/>
  <c r="AR81" i="2"/>
  <c r="AS81" i="2"/>
  <c r="AT81" i="2"/>
  <c r="AU81" i="2"/>
  <c r="AV81" i="2"/>
  <c r="AW81" i="2"/>
  <c r="AX81" i="2"/>
  <c r="AY81" i="2"/>
  <c r="AZ81" i="2"/>
  <c r="BA81" i="2"/>
  <c r="BB81" i="2"/>
  <c r="BC81" i="2"/>
  <c r="BD81" i="2"/>
  <c r="BE81" i="2"/>
  <c r="BF81" i="2"/>
  <c r="BG81" i="2"/>
  <c r="BH81" i="2"/>
  <c r="BI81" i="2"/>
  <c r="BJ81" i="2"/>
  <c r="BK81" i="2"/>
  <c r="BL81" i="2"/>
  <c r="BM81" i="2"/>
  <c r="BN81" i="2"/>
  <c r="BO81" i="2"/>
  <c r="BP81" i="2"/>
  <c r="BQ81" i="2"/>
  <c r="BR81" i="2"/>
  <c r="BS81" i="2"/>
  <c r="BT81" i="2"/>
  <c r="BU81" i="2"/>
  <c r="BV81" i="2"/>
  <c r="BW81" i="2"/>
  <c r="BX81" i="2"/>
  <c r="AI82" i="2"/>
  <c r="AJ82" i="2"/>
  <c r="AK82" i="2"/>
  <c r="AL82" i="2"/>
  <c r="AM82" i="2"/>
  <c r="AN82" i="2"/>
  <c r="AO82" i="2"/>
  <c r="AP82" i="2"/>
  <c r="AQ82" i="2"/>
  <c r="AR82" i="2"/>
  <c r="AS82" i="2"/>
  <c r="AT82" i="2"/>
  <c r="AU82" i="2"/>
  <c r="AV82" i="2"/>
  <c r="AW82" i="2"/>
  <c r="AX82" i="2"/>
  <c r="AY82" i="2"/>
  <c r="AZ82" i="2"/>
  <c r="BA82" i="2"/>
  <c r="BB82" i="2"/>
  <c r="BC82" i="2"/>
  <c r="BD82" i="2"/>
  <c r="BE82" i="2"/>
  <c r="BF82" i="2"/>
  <c r="BG82" i="2"/>
  <c r="BH82" i="2"/>
  <c r="BI82" i="2"/>
  <c r="BJ82" i="2"/>
  <c r="BK82" i="2"/>
  <c r="BL82" i="2"/>
  <c r="BM82" i="2"/>
  <c r="BN82" i="2"/>
  <c r="BO82" i="2"/>
  <c r="BP82" i="2"/>
  <c r="BQ82" i="2"/>
  <c r="BR82" i="2"/>
  <c r="BS82" i="2"/>
  <c r="BT82" i="2"/>
  <c r="BU82" i="2"/>
  <c r="BV82" i="2"/>
  <c r="BW82" i="2"/>
  <c r="BX82" i="2"/>
  <c r="AI83" i="2"/>
  <c r="AJ83" i="2"/>
  <c r="AK83" i="2"/>
  <c r="AL83" i="2"/>
  <c r="AM83" i="2"/>
  <c r="AN83" i="2"/>
  <c r="AO83" i="2"/>
  <c r="AP83" i="2"/>
  <c r="AQ83" i="2"/>
  <c r="AR83" i="2"/>
  <c r="AS83" i="2"/>
  <c r="AT83" i="2"/>
  <c r="AU83" i="2"/>
  <c r="AV83" i="2"/>
  <c r="AW83" i="2"/>
  <c r="AX83" i="2"/>
  <c r="AY83" i="2"/>
  <c r="AZ83" i="2"/>
  <c r="BA83" i="2"/>
  <c r="BB83" i="2"/>
  <c r="BC83" i="2"/>
  <c r="BD83" i="2"/>
  <c r="BE83" i="2"/>
  <c r="BF83" i="2"/>
  <c r="BG83" i="2"/>
  <c r="BH83" i="2"/>
  <c r="BI83" i="2"/>
  <c r="BJ83" i="2"/>
  <c r="BK83" i="2"/>
  <c r="BL83" i="2"/>
  <c r="BM83" i="2"/>
  <c r="BN83" i="2"/>
  <c r="BO83" i="2"/>
  <c r="BP83" i="2"/>
  <c r="BQ83" i="2"/>
  <c r="BR83" i="2"/>
  <c r="BS83" i="2"/>
  <c r="BT83" i="2"/>
  <c r="BU83" i="2"/>
  <c r="BV83" i="2"/>
  <c r="BW83" i="2"/>
  <c r="BX83" i="2"/>
  <c r="AI84" i="2"/>
  <c r="AJ84" i="2"/>
  <c r="AK84" i="2"/>
  <c r="AL84" i="2"/>
  <c r="AM84" i="2"/>
  <c r="AN84" i="2"/>
  <c r="AO84" i="2"/>
  <c r="AP84" i="2"/>
  <c r="AQ84" i="2"/>
  <c r="AR84" i="2"/>
  <c r="AS84" i="2"/>
  <c r="AT84" i="2"/>
  <c r="AU84" i="2"/>
  <c r="AV84" i="2"/>
  <c r="AW84" i="2"/>
  <c r="AX84" i="2"/>
  <c r="AY84" i="2"/>
  <c r="AZ84" i="2"/>
  <c r="BA84" i="2"/>
  <c r="BB84" i="2"/>
  <c r="BC84" i="2"/>
  <c r="BD84" i="2"/>
  <c r="BE84" i="2"/>
  <c r="BF84" i="2"/>
  <c r="BG84" i="2"/>
  <c r="BH84" i="2"/>
  <c r="BI84" i="2"/>
  <c r="BJ84" i="2"/>
  <c r="BK84" i="2"/>
  <c r="BL84" i="2"/>
  <c r="BM84" i="2"/>
  <c r="BN84" i="2"/>
  <c r="BO84" i="2"/>
  <c r="BP84" i="2"/>
  <c r="BQ84" i="2"/>
  <c r="BR84" i="2"/>
  <c r="BS84" i="2"/>
  <c r="BT84" i="2"/>
  <c r="BU84" i="2"/>
  <c r="BV84" i="2"/>
  <c r="BW84" i="2"/>
  <c r="BX84" i="2"/>
  <c r="AI85" i="2"/>
  <c r="AJ85" i="2"/>
  <c r="AK85" i="2"/>
  <c r="AL85" i="2"/>
  <c r="AM85" i="2"/>
  <c r="AN85" i="2"/>
  <c r="AO85" i="2"/>
  <c r="AP85" i="2"/>
  <c r="AQ85" i="2"/>
  <c r="AR85" i="2"/>
  <c r="AS85" i="2"/>
  <c r="AT85" i="2"/>
  <c r="AU85" i="2"/>
  <c r="AV85" i="2"/>
  <c r="AW85" i="2"/>
  <c r="AX85" i="2"/>
  <c r="AY85" i="2"/>
  <c r="AZ85" i="2"/>
  <c r="BA85" i="2"/>
  <c r="BB85" i="2"/>
  <c r="BC85" i="2"/>
  <c r="BD85" i="2"/>
  <c r="BE85" i="2"/>
  <c r="BF85" i="2"/>
  <c r="BG85" i="2"/>
  <c r="BH85" i="2"/>
  <c r="BI85" i="2"/>
  <c r="BJ85" i="2"/>
  <c r="BK85" i="2"/>
  <c r="BL85" i="2"/>
  <c r="BM85" i="2"/>
  <c r="BN85" i="2"/>
  <c r="BO85" i="2"/>
  <c r="BP85" i="2"/>
  <c r="BQ85" i="2"/>
  <c r="BR85" i="2"/>
  <c r="BS85" i="2"/>
  <c r="BT85" i="2"/>
  <c r="BU85" i="2"/>
  <c r="BV85" i="2"/>
  <c r="BW85" i="2"/>
  <c r="BX85" i="2"/>
  <c r="AI86" i="2"/>
  <c r="AJ86" i="2"/>
  <c r="AK86" i="2"/>
  <c r="AL86" i="2"/>
  <c r="AM86" i="2"/>
  <c r="AN86" i="2"/>
  <c r="AO86" i="2"/>
  <c r="AP86" i="2"/>
  <c r="AQ86" i="2"/>
  <c r="AR86" i="2"/>
  <c r="AS86" i="2"/>
  <c r="AT86" i="2"/>
  <c r="AU86" i="2"/>
  <c r="AV86" i="2"/>
  <c r="AW86" i="2"/>
  <c r="AX86" i="2"/>
  <c r="AY86" i="2"/>
  <c r="AZ86" i="2"/>
  <c r="BA86" i="2"/>
  <c r="BB86" i="2"/>
  <c r="BC86" i="2"/>
  <c r="BD86" i="2"/>
  <c r="BE86" i="2"/>
  <c r="BF86" i="2"/>
  <c r="BG86" i="2"/>
  <c r="BH86" i="2"/>
  <c r="BI86" i="2"/>
  <c r="BJ86" i="2"/>
  <c r="BK86" i="2"/>
  <c r="BL86" i="2"/>
  <c r="BM86" i="2"/>
  <c r="BN86" i="2"/>
  <c r="BO86" i="2"/>
  <c r="BP86" i="2"/>
  <c r="BQ86" i="2"/>
  <c r="BR86" i="2"/>
  <c r="BS86" i="2"/>
  <c r="BT86" i="2"/>
  <c r="BU86" i="2"/>
  <c r="BV86" i="2"/>
  <c r="BW86" i="2"/>
  <c r="BX86" i="2"/>
  <c r="AI87" i="2"/>
  <c r="AJ87" i="2"/>
  <c r="AK87" i="2"/>
  <c r="AL87" i="2"/>
  <c r="AM87" i="2"/>
  <c r="AN87" i="2"/>
  <c r="AO87" i="2"/>
  <c r="AP87" i="2"/>
  <c r="AQ87" i="2"/>
  <c r="AR87" i="2"/>
  <c r="AS87" i="2"/>
  <c r="AT87" i="2"/>
  <c r="AU87" i="2"/>
  <c r="AV87" i="2"/>
  <c r="AW87" i="2"/>
  <c r="AX87" i="2"/>
  <c r="AY87" i="2"/>
  <c r="AZ87" i="2"/>
  <c r="BA87" i="2"/>
  <c r="BB87" i="2"/>
  <c r="BC87" i="2"/>
  <c r="BD87" i="2"/>
  <c r="BE87" i="2"/>
  <c r="BF87" i="2"/>
  <c r="BG87" i="2"/>
  <c r="BH87" i="2"/>
  <c r="BI87" i="2"/>
  <c r="BJ87" i="2"/>
  <c r="BK87" i="2"/>
  <c r="BL87" i="2"/>
  <c r="BM87" i="2"/>
  <c r="BN87" i="2"/>
  <c r="BO87" i="2"/>
  <c r="BP87" i="2"/>
  <c r="BQ87" i="2"/>
  <c r="BR87" i="2"/>
  <c r="BS87" i="2"/>
  <c r="BT87" i="2"/>
  <c r="BU87" i="2"/>
  <c r="BV87" i="2"/>
  <c r="BW87" i="2"/>
  <c r="BX87" i="2"/>
  <c r="AI88" i="2"/>
  <c r="AJ88" i="2"/>
  <c r="AK88" i="2"/>
  <c r="AL88" i="2"/>
  <c r="AM88" i="2"/>
  <c r="AN88" i="2"/>
  <c r="AO88" i="2"/>
  <c r="AP88" i="2"/>
  <c r="AQ88" i="2"/>
  <c r="AR88" i="2"/>
  <c r="AS88" i="2"/>
  <c r="AT88" i="2"/>
  <c r="AU88" i="2"/>
  <c r="AV88" i="2"/>
  <c r="AW88" i="2"/>
  <c r="AX88" i="2"/>
  <c r="AY88" i="2"/>
  <c r="AZ88" i="2"/>
  <c r="BA88" i="2"/>
  <c r="BB88" i="2"/>
  <c r="BC88" i="2"/>
  <c r="BD88" i="2"/>
  <c r="BE88" i="2"/>
  <c r="BF88" i="2"/>
  <c r="BG88" i="2"/>
  <c r="BH88" i="2"/>
  <c r="BI88" i="2"/>
  <c r="BJ88" i="2"/>
  <c r="BK88" i="2"/>
  <c r="BL88" i="2"/>
  <c r="BM88" i="2"/>
  <c r="BN88" i="2"/>
  <c r="BO88" i="2"/>
  <c r="BP88" i="2"/>
  <c r="BQ88" i="2"/>
  <c r="BR88" i="2"/>
  <c r="BS88" i="2"/>
  <c r="BT88" i="2"/>
  <c r="BU88" i="2"/>
  <c r="BV88" i="2"/>
  <c r="BW88" i="2"/>
  <c r="BX88" i="2"/>
  <c r="AI89" i="2"/>
  <c r="AJ89" i="2"/>
  <c r="AK89" i="2"/>
  <c r="AL89" i="2"/>
  <c r="AM89" i="2"/>
  <c r="AN89" i="2"/>
  <c r="AO89" i="2"/>
  <c r="AP89" i="2"/>
  <c r="AQ89" i="2"/>
  <c r="AR89" i="2"/>
  <c r="AS89" i="2"/>
  <c r="AT89" i="2"/>
  <c r="AU89" i="2"/>
  <c r="AV89" i="2"/>
  <c r="AW89" i="2"/>
  <c r="AX89" i="2"/>
  <c r="AY89" i="2"/>
  <c r="AZ89" i="2"/>
  <c r="BA89" i="2"/>
  <c r="BB89" i="2"/>
  <c r="BC89" i="2"/>
  <c r="BD89" i="2"/>
  <c r="BE89" i="2"/>
  <c r="BF89" i="2"/>
  <c r="BG89" i="2"/>
  <c r="BH89" i="2"/>
  <c r="BI89" i="2"/>
  <c r="BJ89" i="2"/>
  <c r="BK89" i="2"/>
  <c r="BL89" i="2"/>
  <c r="BM89" i="2"/>
  <c r="BN89" i="2"/>
  <c r="BO89" i="2"/>
  <c r="BP89" i="2"/>
  <c r="BQ89" i="2"/>
  <c r="BR89" i="2"/>
  <c r="BS89" i="2"/>
  <c r="BT89" i="2"/>
  <c r="BU89" i="2"/>
  <c r="BV89" i="2"/>
  <c r="BW89" i="2"/>
  <c r="BX89" i="2"/>
  <c r="AI90" i="2"/>
  <c r="AJ90" i="2"/>
  <c r="AK90" i="2"/>
  <c r="AL90" i="2"/>
  <c r="AM90" i="2"/>
  <c r="AN90" i="2"/>
  <c r="AO90" i="2"/>
  <c r="AP90" i="2"/>
  <c r="AQ90" i="2"/>
  <c r="AR90" i="2"/>
  <c r="AS90" i="2"/>
  <c r="AT90" i="2"/>
  <c r="AU90" i="2"/>
  <c r="AV90" i="2"/>
  <c r="AW90" i="2"/>
  <c r="AX90" i="2"/>
  <c r="AY90" i="2"/>
  <c r="AZ90" i="2"/>
  <c r="BA90" i="2"/>
  <c r="BB90" i="2"/>
  <c r="BC90" i="2"/>
  <c r="BD90" i="2"/>
  <c r="BE90" i="2"/>
  <c r="BF90" i="2"/>
  <c r="BG90" i="2"/>
  <c r="BH90" i="2"/>
  <c r="BI90" i="2"/>
  <c r="BJ90" i="2"/>
  <c r="BK90" i="2"/>
  <c r="BL90" i="2"/>
  <c r="BM90" i="2"/>
  <c r="BN90" i="2"/>
  <c r="BO90" i="2"/>
  <c r="BP90" i="2"/>
  <c r="BQ90" i="2"/>
  <c r="BR90" i="2"/>
  <c r="BS90" i="2"/>
  <c r="BT90" i="2"/>
  <c r="BU90" i="2"/>
  <c r="BV90" i="2"/>
  <c r="BW90" i="2"/>
  <c r="BX90" i="2"/>
  <c r="AI91" i="2"/>
  <c r="AJ91" i="2"/>
  <c r="AK91" i="2"/>
  <c r="AL91" i="2"/>
  <c r="AM91" i="2"/>
  <c r="AN91" i="2"/>
  <c r="AO91" i="2"/>
  <c r="AP91" i="2"/>
  <c r="AQ91" i="2"/>
  <c r="AR91" i="2"/>
  <c r="AS91" i="2"/>
  <c r="AT91" i="2"/>
  <c r="AU91" i="2"/>
  <c r="AV91" i="2"/>
  <c r="AW91" i="2"/>
  <c r="AX91" i="2"/>
  <c r="AY91" i="2"/>
  <c r="AZ91" i="2"/>
  <c r="BA91" i="2"/>
  <c r="BB91" i="2"/>
  <c r="BC91" i="2"/>
  <c r="BD91" i="2"/>
  <c r="BE91" i="2"/>
  <c r="BF91" i="2"/>
  <c r="BG91" i="2"/>
  <c r="BH91" i="2"/>
  <c r="BI91" i="2"/>
  <c r="BJ91" i="2"/>
  <c r="BK91" i="2"/>
  <c r="BL91" i="2"/>
  <c r="BM91" i="2"/>
  <c r="BN91" i="2"/>
  <c r="BO91" i="2"/>
  <c r="BP91" i="2"/>
  <c r="BQ91" i="2"/>
  <c r="BR91" i="2"/>
  <c r="BS91" i="2"/>
  <c r="BT91" i="2"/>
  <c r="BU91" i="2"/>
  <c r="BV91" i="2"/>
  <c r="BW91" i="2"/>
  <c r="BX91" i="2"/>
  <c r="AI92" i="2"/>
  <c r="AJ92" i="2"/>
  <c r="AK92" i="2"/>
  <c r="AL92" i="2"/>
  <c r="AM92" i="2"/>
  <c r="AN92" i="2"/>
  <c r="AO92" i="2"/>
  <c r="AP92" i="2"/>
  <c r="AQ92" i="2"/>
  <c r="AR92" i="2"/>
  <c r="AS92" i="2"/>
  <c r="AT92" i="2"/>
  <c r="AU92" i="2"/>
  <c r="AV92" i="2"/>
  <c r="AW92" i="2"/>
  <c r="AX92" i="2"/>
  <c r="AY92" i="2"/>
  <c r="AZ92" i="2"/>
  <c r="BA92" i="2"/>
  <c r="BB92" i="2"/>
  <c r="BC92" i="2"/>
  <c r="BD92" i="2"/>
  <c r="BE92" i="2"/>
  <c r="BF92" i="2"/>
  <c r="BG92" i="2"/>
  <c r="BH92" i="2"/>
  <c r="BI92" i="2"/>
  <c r="BJ92" i="2"/>
  <c r="BK92" i="2"/>
  <c r="BL92" i="2"/>
  <c r="BM92" i="2"/>
  <c r="BN92" i="2"/>
  <c r="BO92" i="2"/>
  <c r="BP92" i="2"/>
  <c r="BQ92" i="2"/>
  <c r="BR92" i="2"/>
  <c r="BS92" i="2"/>
  <c r="BT92" i="2"/>
  <c r="BU92" i="2"/>
  <c r="BV92" i="2"/>
  <c r="BW92" i="2"/>
  <c r="BX92" i="2"/>
  <c r="AI93" i="2"/>
  <c r="AJ93" i="2"/>
  <c r="AK93" i="2"/>
  <c r="AL93" i="2"/>
  <c r="AM93" i="2"/>
  <c r="AN93" i="2"/>
  <c r="AO93" i="2"/>
  <c r="AP93" i="2"/>
  <c r="AQ93" i="2"/>
  <c r="AR93" i="2"/>
  <c r="AS93" i="2"/>
  <c r="AT93" i="2"/>
  <c r="AU93" i="2"/>
  <c r="AV93" i="2"/>
  <c r="AW93" i="2"/>
  <c r="AX93" i="2"/>
  <c r="AY93" i="2"/>
  <c r="AZ93" i="2"/>
  <c r="BA93" i="2"/>
  <c r="BB93" i="2"/>
  <c r="BC93" i="2"/>
  <c r="BD93" i="2"/>
  <c r="BE93" i="2"/>
  <c r="BF93" i="2"/>
  <c r="BG93" i="2"/>
  <c r="BH93" i="2"/>
  <c r="BI93" i="2"/>
  <c r="BJ93" i="2"/>
  <c r="BK93" i="2"/>
  <c r="BL93" i="2"/>
  <c r="BM93" i="2"/>
  <c r="BN93" i="2"/>
  <c r="BO93" i="2"/>
  <c r="BP93" i="2"/>
  <c r="BQ93" i="2"/>
  <c r="BR93" i="2"/>
  <c r="BS93" i="2"/>
  <c r="BT93" i="2"/>
  <c r="BU93" i="2"/>
  <c r="BV93" i="2"/>
  <c r="BW93" i="2"/>
  <c r="BX93" i="2"/>
  <c r="AI94" i="2"/>
  <c r="AJ94" i="2"/>
  <c r="AK94" i="2"/>
  <c r="AL94" i="2"/>
  <c r="AM94" i="2"/>
  <c r="AN94" i="2"/>
  <c r="AO94" i="2"/>
  <c r="AP94" i="2"/>
  <c r="AQ94" i="2"/>
  <c r="AR94" i="2"/>
  <c r="AS94" i="2"/>
  <c r="AT94" i="2"/>
  <c r="AU94" i="2"/>
  <c r="AV94" i="2"/>
  <c r="AW94" i="2"/>
  <c r="AX94" i="2"/>
  <c r="AY94" i="2"/>
  <c r="AZ94" i="2"/>
  <c r="BA94" i="2"/>
  <c r="BB94" i="2"/>
  <c r="BC94" i="2"/>
  <c r="BD94" i="2"/>
  <c r="BE94" i="2"/>
  <c r="BF94" i="2"/>
  <c r="BG94" i="2"/>
  <c r="BH94" i="2"/>
  <c r="BI94" i="2"/>
  <c r="BJ94" i="2"/>
  <c r="BK94" i="2"/>
  <c r="BL94" i="2"/>
  <c r="BM94" i="2"/>
  <c r="BN94" i="2"/>
  <c r="BO94" i="2"/>
  <c r="BP94" i="2"/>
  <c r="BQ94" i="2"/>
  <c r="BR94" i="2"/>
  <c r="BS94" i="2"/>
  <c r="BT94" i="2"/>
  <c r="BU94" i="2"/>
  <c r="BV94" i="2"/>
  <c r="BW94" i="2"/>
  <c r="BX94" i="2"/>
  <c r="AI95" i="2"/>
  <c r="AJ95" i="2"/>
  <c r="AK95" i="2"/>
  <c r="AL95" i="2"/>
  <c r="AM95" i="2"/>
  <c r="AN95" i="2"/>
  <c r="AO95" i="2"/>
  <c r="AP95" i="2"/>
  <c r="AQ95" i="2"/>
  <c r="AR95" i="2"/>
  <c r="AS95" i="2"/>
  <c r="AT95" i="2"/>
  <c r="AU95" i="2"/>
  <c r="AV95" i="2"/>
  <c r="AW95" i="2"/>
  <c r="AX95" i="2"/>
  <c r="AY95" i="2"/>
  <c r="AZ95" i="2"/>
  <c r="BA95" i="2"/>
  <c r="BB95" i="2"/>
  <c r="BC95" i="2"/>
  <c r="BD95" i="2"/>
  <c r="BE95" i="2"/>
  <c r="BF95" i="2"/>
  <c r="BG95" i="2"/>
  <c r="BH95" i="2"/>
  <c r="BI95" i="2"/>
  <c r="BJ95" i="2"/>
  <c r="BK95" i="2"/>
  <c r="BL95" i="2"/>
  <c r="BM95" i="2"/>
  <c r="BN95" i="2"/>
  <c r="BO95" i="2"/>
  <c r="BP95" i="2"/>
  <c r="BQ95" i="2"/>
  <c r="BR95" i="2"/>
  <c r="BS95" i="2"/>
  <c r="BT95" i="2"/>
  <c r="BU95" i="2"/>
  <c r="BV95" i="2"/>
  <c r="BW95" i="2"/>
  <c r="BX95" i="2"/>
  <c r="AI96" i="2"/>
  <c r="AJ96" i="2"/>
  <c r="AK96" i="2"/>
  <c r="AL96" i="2"/>
  <c r="AM96" i="2"/>
  <c r="AN96" i="2"/>
  <c r="AO96" i="2"/>
  <c r="AP96" i="2"/>
  <c r="AQ96" i="2"/>
  <c r="AR96" i="2"/>
  <c r="AS96" i="2"/>
  <c r="AT96" i="2"/>
  <c r="AU96" i="2"/>
  <c r="AV96" i="2"/>
  <c r="AW96" i="2"/>
  <c r="AX96" i="2"/>
  <c r="AY96" i="2"/>
  <c r="AZ96" i="2"/>
  <c r="BA96" i="2"/>
  <c r="BB96" i="2"/>
  <c r="BC96" i="2"/>
  <c r="BD96" i="2"/>
  <c r="BE96" i="2"/>
  <c r="BF96" i="2"/>
  <c r="BG96" i="2"/>
  <c r="BH96" i="2"/>
  <c r="BI96" i="2"/>
  <c r="BJ96" i="2"/>
  <c r="BK96" i="2"/>
  <c r="BL96" i="2"/>
  <c r="BM96" i="2"/>
  <c r="BN96" i="2"/>
  <c r="BO96" i="2"/>
  <c r="BP96" i="2"/>
  <c r="BQ96" i="2"/>
  <c r="BR96" i="2"/>
  <c r="BS96" i="2"/>
  <c r="BT96" i="2"/>
  <c r="BU96" i="2"/>
  <c r="BV96" i="2"/>
  <c r="BW96" i="2"/>
  <c r="BX96" i="2"/>
  <c r="AI97" i="2"/>
  <c r="AJ97" i="2"/>
  <c r="AK97" i="2"/>
  <c r="AL97" i="2"/>
  <c r="AM97" i="2"/>
  <c r="AN97" i="2"/>
  <c r="AO97" i="2"/>
  <c r="AP97" i="2"/>
  <c r="AQ97" i="2"/>
  <c r="AR97" i="2"/>
  <c r="AS97" i="2"/>
  <c r="AT97" i="2"/>
  <c r="AU97" i="2"/>
  <c r="AV97" i="2"/>
  <c r="AW97" i="2"/>
  <c r="AX97" i="2"/>
  <c r="AY97" i="2"/>
  <c r="AZ97" i="2"/>
  <c r="BA97" i="2"/>
  <c r="BB97" i="2"/>
  <c r="BC97" i="2"/>
  <c r="BD97" i="2"/>
  <c r="BE97" i="2"/>
  <c r="BF97" i="2"/>
  <c r="BG97" i="2"/>
  <c r="BH97" i="2"/>
  <c r="BI97" i="2"/>
  <c r="BJ97" i="2"/>
  <c r="BK97" i="2"/>
  <c r="BL97" i="2"/>
  <c r="BM97" i="2"/>
  <c r="BN97" i="2"/>
  <c r="BO97" i="2"/>
  <c r="BP97" i="2"/>
  <c r="BQ97" i="2"/>
  <c r="BR97" i="2"/>
  <c r="BS97" i="2"/>
  <c r="BT97" i="2"/>
  <c r="BU97" i="2"/>
  <c r="BV97" i="2"/>
  <c r="BW97" i="2"/>
  <c r="BX97" i="2"/>
  <c r="AI98" i="2"/>
  <c r="AJ98" i="2"/>
  <c r="AK98" i="2"/>
  <c r="AL98" i="2"/>
  <c r="AM98" i="2"/>
  <c r="AN98" i="2"/>
  <c r="AO98" i="2"/>
  <c r="AP98" i="2"/>
  <c r="AQ98" i="2"/>
  <c r="AR98" i="2"/>
  <c r="AS98" i="2"/>
  <c r="AT98" i="2"/>
  <c r="AU98" i="2"/>
  <c r="AV98" i="2"/>
  <c r="AW98" i="2"/>
  <c r="AX98" i="2"/>
  <c r="AY98" i="2"/>
  <c r="AZ98" i="2"/>
  <c r="BA98" i="2"/>
  <c r="BB98" i="2"/>
  <c r="BC98" i="2"/>
  <c r="BD98" i="2"/>
  <c r="BE98" i="2"/>
  <c r="BF98" i="2"/>
  <c r="BG98" i="2"/>
  <c r="BH98" i="2"/>
  <c r="BI98" i="2"/>
  <c r="BJ98" i="2"/>
  <c r="BK98" i="2"/>
  <c r="BL98" i="2"/>
  <c r="BM98" i="2"/>
  <c r="BN98" i="2"/>
  <c r="BO98" i="2"/>
  <c r="BP98" i="2"/>
  <c r="BQ98" i="2"/>
  <c r="BR98" i="2"/>
  <c r="BS98" i="2"/>
  <c r="BT98" i="2"/>
  <c r="BU98" i="2"/>
  <c r="BV98" i="2"/>
  <c r="BW98" i="2"/>
  <c r="BX98" i="2"/>
  <c r="AI99" i="2"/>
  <c r="AJ99" i="2"/>
  <c r="AK99" i="2"/>
  <c r="AL99" i="2"/>
  <c r="AM99" i="2"/>
  <c r="AN99" i="2"/>
  <c r="AO99" i="2"/>
  <c r="AP99" i="2"/>
  <c r="AQ99" i="2"/>
  <c r="AR99" i="2"/>
  <c r="AS99" i="2"/>
  <c r="AT99" i="2"/>
  <c r="AU99" i="2"/>
  <c r="AV99" i="2"/>
  <c r="AW99" i="2"/>
  <c r="AX99" i="2"/>
  <c r="AY99" i="2"/>
  <c r="AZ99" i="2"/>
  <c r="BA99" i="2"/>
  <c r="BB99" i="2"/>
  <c r="BC99" i="2"/>
  <c r="BD99" i="2"/>
  <c r="BE99" i="2"/>
  <c r="BF99" i="2"/>
  <c r="BG99" i="2"/>
  <c r="BH99" i="2"/>
  <c r="BI99" i="2"/>
  <c r="BJ99" i="2"/>
  <c r="BK99" i="2"/>
  <c r="BL99" i="2"/>
  <c r="BM99" i="2"/>
  <c r="BN99" i="2"/>
  <c r="BO99" i="2"/>
  <c r="BP99" i="2"/>
  <c r="BQ99" i="2"/>
  <c r="BR99" i="2"/>
  <c r="BS99" i="2"/>
  <c r="BT99" i="2"/>
  <c r="BU99" i="2"/>
  <c r="BV99" i="2"/>
  <c r="BW99" i="2"/>
  <c r="BX99" i="2"/>
  <c r="AI100" i="2"/>
  <c r="AJ100" i="2"/>
  <c r="AK100" i="2"/>
  <c r="AL100" i="2"/>
  <c r="AM100" i="2"/>
  <c r="AN100" i="2"/>
  <c r="AO100" i="2"/>
  <c r="AP100" i="2"/>
  <c r="AQ100" i="2"/>
  <c r="AR100" i="2"/>
  <c r="AS100" i="2"/>
  <c r="AT100" i="2"/>
  <c r="AU100" i="2"/>
  <c r="AV100" i="2"/>
  <c r="AW100" i="2"/>
  <c r="AX100" i="2"/>
  <c r="AY100" i="2"/>
  <c r="AZ100" i="2"/>
  <c r="BA100" i="2"/>
  <c r="BB100" i="2"/>
  <c r="BC100" i="2"/>
  <c r="BD100" i="2"/>
  <c r="BE100" i="2"/>
  <c r="BF100" i="2"/>
  <c r="BG100" i="2"/>
  <c r="BH100" i="2"/>
  <c r="BI100" i="2"/>
  <c r="BJ100" i="2"/>
  <c r="BK100" i="2"/>
  <c r="BL100" i="2"/>
  <c r="BM100" i="2"/>
  <c r="BN100" i="2"/>
  <c r="BO100" i="2"/>
  <c r="BP100" i="2"/>
  <c r="BQ100" i="2"/>
  <c r="BR100" i="2"/>
  <c r="BS100" i="2"/>
  <c r="BT100" i="2"/>
  <c r="BU100" i="2"/>
  <c r="BV100" i="2"/>
  <c r="BW100" i="2"/>
  <c r="BX100" i="2"/>
  <c r="BX11" i="2"/>
  <c r="BW11" i="2"/>
  <c r="BV11" i="2"/>
  <c r="BU11" i="2"/>
  <c r="BT11" i="2"/>
  <c r="BS11" i="2"/>
  <c r="BR11" i="2"/>
  <c r="BQ11" i="2"/>
  <c r="BP11" i="2"/>
  <c r="BO11" i="2"/>
  <c r="BN11" i="2"/>
  <c r="BM11" i="2"/>
  <c r="BL11" i="2"/>
  <c r="BK11" i="2"/>
  <c r="BJ11" i="2"/>
  <c r="BI11" i="2"/>
  <c r="BH11" i="2"/>
  <c r="BG11" i="2"/>
  <c r="BF11" i="2"/>
  <c r="BE11" i="2"/>
  <c r="BD11" i="2"/>
  <c r="BC11" i="2"/>
  <c r="BB11" i="2"/>
  <c r="BA11" i="2"/>
  <c r="AZ11" i="2"/>
  <c r="AY11" i="2"/>
  <c r="AX11" i="2"/>
  <c r="AW11" i="2"/>
  <c r="AV11" i="2"/>
  <c r="AU11" i="2"/>
  <c r="AT11" i="2"/>
  <c r="AS11" i="2"/>
  <c r="AR11" i="2"/>
  <c r="AQ11" i="2"/>
  <c r="AP11" i="2"/>
  <c r="AO11" i="2"/>
  <c r="AN11" i="2"/>
  <c r="AM11" i="2"/>
  <c r="AL11" i="2"/>
  <c r="AK11" i="2"/>
  <c r="AJ11" i="2"/>
  <c r="AI11" i="2"/>
  <c r="AH30" i="2"/>
  <c r="AH34" i="2"/>
  <c r="AH35" i="2"/>
  <c r="AH36" i="2"/>
  <c r="AH37" i="2"/>
  <c r="AH38" i="2"/>
  <c r="AH39" i="2"/>
  <c r="AH40" i="2"/>
  <c r="AH41" i="2"/>
  <c r="AH42" i="2"/>
  <c r="AH43" i="2"/>
  <c r="AH44" i="2"/>
  <c r="AH45" i="2"/>
  <c r="AH46" i="2"/>
  <c r="AH47" i="2"/>
  <c r="AH48" i="2"/>
  <c r="AH49" i="2"/>
  <c r="AH50" i="2"/>
  <c r="AH51" i="2"/>
  <c r="AH52" i="2"/>
  <c r="AH53" i="2"/>
  <c r="AH54" i="2"/>
  <c r="AH55" i="2"/>
  <c r="AH56" i="2"/>
  <c r="AH57" i="2"/>
  <c r="AH58" i="2"/>
  <c r="AH59" i="2"/>
  <c r="AH60" i="2"/>
  <c r="AH61" i="2"/>
  <c r="AH62" i="2"/>
  <c r="AH63" i="2"/>
  <c r="AH64" i="2"/>
  <c r="AH65" i="2"/>
  <c r="AH66" i="2"/>
  <c r="AH67" i="2"/>
  <c r="AH68" i="2"/>
  <c r="AH69" i="2"/>
  <c r="AH70" i="2"/>
  <c r="AH71" i="2"/>
  <c r="AH72" i="2"/>
  <c r="AH73" i="2"/>
  <c r="AH74" i="2"/>
  <c r="AH75" i="2"/>
  <c r="AH76" i="2"/>
  <c r="AH77" i="2"/>
  <c r="AH78" i="2"/>
  <c r="AH79" i="2"/>
  <c r="AH80" i="2"/>
  <c r="AH81" i="2"/>
  <c r="AH82" i="2"/>
  <c r="AH83" i="2"/>
  <c r="AH84" i="2"/>
  <c r="AH85" i="2"/>
  <c r="AH86" i="2"/>
  <c r="AH87" i="2"/>
  <c r="AH88" i="2"/>
  <c r="AH89" i="2"/>
  <c r="AH90" i="2"/>
  <c r="AH91" i="2"/>
  <c r="AH92" i="2"/>
  <c r="AH93" i="2"/>
  <c r="AH94" i="2"/>
  <c r="AH95" i="2"/>
  <c r="AH96" i="2"/>
  <c r="AH97" i="2"/>
  <c r="AH98" i="2"/>
  <c r="AH99" i="2"/>
  <c r="AH100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4" i="2"/>
  <c r="AE45" i="2"/>
  <c r="AE46" i="2"/>
  <c r="AE47" i="2"/>
  <c r="AE48" i="2"/>
  <c r="AE49" i="2"/>
  <c r="AE50" i="2"/>
  <c r="AE51" i="2"/>
  <c r="AE52" i="2"/>
  <c r="AE53" i="2"/>
  <c r="AE54" i="2"/>
  <c r="AE55" i="2"/>
  <c r="AE56" i="2"/>
  <c r="AE57" i="2"/>
  <c r="AE58" i="2"/>
  <c r="AE59" i="2"/>
  <c r="AE60" i="2"/>
  <c r="AE61" i="2"/>
  <c r="AE62" i="2"/>
  <c r="AE63" i="2"/>
  <c r="AE64" i="2"/>
  <c r="AE65" i="2"/>
  <c r="AE66" i="2"/>
  <c r="AE67" i="2"/>
  <c r="AE68" i="2"/>
  <c r="AE69" i="2"/>
  <c r="AE70" i="2"/>
  <c r="AE71" i="2"/>
  <c r="AE72" i="2"/>
  <c r="AE73" i="2"/>
  <c r="AE74" i="2"/>
  <c r="AE75" i="2"/>
  <c r="AE76" i="2"/>
  <c r="AE77" i="2"/>
  <c r="AE78" i="2"/>
  <c r="AE79" i="2"/>
  <c r="AE80" i="2"/>
  <c r="AE81" i="2"/>
  <c r="AE82" i="2"/>
  <c r="AE83" i="2"/>
  <c r="AE84" i="2"/>
  <c r="AE85" i="2"/>
  <c r="AE86" i="2"/>
  <c r="AE87" i="2"/>
  <c r="AE88" i="2"/>
  <c r="AE89" i="2"/>
  <c r="AE90" i="2"/>
  <c r="AE91" i="2"/>
  <c r="AE92" i="2"/>
  <c r="AE93" i="2"/>
  <c r="AE94" i="2"/>
  <c r="AE95" i="2"/>
  <c r="AE96" i="2"/>
  <c r="AE97" i="2"/>
  <c r="AE98" i="2"/>
  <c r="AE99" i="2"/>
  <c r="AE100" i="2"/>
  <c r="AE11" i="2"/>
  <c r="AG12" i="2"/>
  <c r="AG13" i="2"/>
  <c r="AG14" i="2"/>
  <c r="AG15" i="2"/>
  <c r="AG16" i="2"/>
  <c r="AG17" i="2"/>
  <c r="AG18" i="2"/>
  <c r="AG19" i="2"/>
  <c r="AG20" i="2"/>
  <c r="AG21" i="2"/>
  <c r="AG22" i="2"/>
  <c r="AG23" i="2"/>
  <c r="AG24" i="2"/>
  <c r="AG25" i="2"/>
  <c r="AG26" i="2"/>
  <c r="AG27" i="2"/>
  <c r="AG28" i="2"/>
  <c r="AG29" i="2"/>
  <c r="AG30" i="2"/>
  <c r="AG31" i="2"/>
  <c r="AG32" i="2"/>
  <c r="AG33" i="2"/>
  <c r="AG34" i="2"/>
  <c r="AG35" i="2"/>
  <c r="AG36" i="2"/>
  <c r="AG37" i="2"/>
  <c r="AG38" i="2"/>
  <c r="AG39" i="2"/>
  <c r="AG40" i="2"/>
  <c r="AG41" i="2"/>
  <c r="AG42" i="2"/>
  <c r="AG43" i="2"/>
  <c r="AG44" i="2"/>
  <c r="AG45" i="2"/>
  <c r="AG46" i="2"/>
  <c r="AG47" i="2"/>
  <c r="AG48" i="2"/>
  <c r="AG49" i="2"/>
  <c r="AG50" i="2"/>
  <c r="AG51" i="2"/>
  <c r="AG52" i="2"/>
  <c r="AG53" i="2"/>
  <c r="AG54" i="2"/>
  <c r="AG55" i="2"/>
  <c r="AG56" i="2"/>
  <c r="AG57" i="2"/>
  <c r="AG58" i="2"/>
  <c r="AG59" i="2"/>
  <c r="AG60" i="2"/>
  <c r="AG61" i="2"/>
  <c r="AG62" i="2"/>
  <c r="AG63" i="2"/>
  <c r="AG64" i="2"/>
  <c r="AG65" i="2"/>
  <c r="AG66" i="2"/>
  <c r="AG67" i="2"/>
  <c r="AG68" i="2"/>
  <c r="AG69" i="2"/>
  <c r="AG70" i="2"/>
  <c r="AG71" i="2"/>
  <c r="AG72" i="2"/>
  <c r="AG73" i="2"/>
  <c r="AG74" i="2"/>
  <c r="AG75" i="2"/>
  <c r="AG76" i="2"/>
  <c r="AG77" i="2"/>
  <c r="AG78" i="2"/>
  <c r="AG79" i="2"/>
  <c r="AG80" i="2"/>
  <c r="AG81" i="2"/>
  <c r="AG82" i="2"/>
  <c r="AG83" i="2"/>
  <c r="AG84" i="2"/>
  <c r="AG85" i="2"/>
  <c r="AG86" i="2"/>
  <c r="AG87" i="2"/>
  <c r="AG88" i="2"/>
  <c r="AG89" i="2"/>
  <c r="AG90" i="2"/>
  <c r="AG91" i="2"/>
  <c r="AG92" i="2"/>
  <c r="AG93" i="2"/>
  <c r="AG94" i="2"/>
  <c r="AG95" i="2"/>
  <c r="AG96" i="2"/>
  <c r="AG97" i="2"/>
  <c r="AG98" i="2"/>
  <c r="AG99" i="2"/>
  <c r="AG100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38" i="2"/>
  <c r="AF39" i="2"/>
  <c r="AF40" i="2"/>
  <c r="AF41" i="2"/>
  <c r="AF42" i="2"/>
  <c r="AF43" i="2"/>
  <c r="AF44" i="2"/>
  <c r="AF45" i="2"/>
  <c r="AF46" i="2"/>
  <c r="AF47" i="2"/>
  <c r="AF48" i="2"/>
  <c r="AF49" i="2"/>
  <c r="AF50" i="2"/>
  <c r="AF51" i="2"/>
  <c r="AF52" i="2"/>
  <c r="AF53" i="2"/>
  <c r="AF54" i="2"/>
  <c r="AF55" i="2"/>
  <c r="AF56" i="2"/>
  <c r="AF57" i="2"/>
  <c r="AF58" i="2"/>
  <c r="AF59" i="2"/>
  <c r="AF60" i="2"/>
  <c r="AF61" i="2"/>
  <c r="AF62" i="2"/>
  <c r="AF63" i="2"/>
  <c r="AF64" i="2"/>
  <c r="AF65" i="2"/>
  <c r="AF66" i="2"/>
  <c r="AF67" i="2"/>
  <c r="AF68" i="2"/>
  <c r="AF69" i="2"/>
  <c r="AF70" i="2"/>
  <c r="AF71" i="2"/>
  <c r="AF72" i="2"/>
  <c r="AF73" i="2"/>
  <c r="AF74" i="2"/>
  <c r="AF75" i="2"/>
  <c r="AF76" i="2"/>
  <c r="AF77" i="2"/>
  <c r="AF78" i="2"/>
  <c r="AF79" i="2"/>
  <c r="AF80" i="2"/>
  <c r="AF81" i="2"/>
  <c r="AF82" i="2"/>
  <c r="AF83" i="2"/>
  <c r="AF84" i="2"/>
  <c r="AF85" i="2"/>
  <c r="AF86" i="2"/>
  <c r="AF87" i="2"/>
  <c r="AF88" i="2"/>
  <c r="AF89" i="2"/>
  <c r="AF90" i="2"/>
  <c r="AF91" i="2"/>
  <c r="AF92" i="2"/>
  <c r="AF93" i="2"/>
  <c r="AF94" i="2"/>
  <c r="AF95" i="2"/>
  <c r="AF96" i="2"/>
  <c r="AF97" i="2"/>
  <c r="AF98" i="2"/>
  <c r="AF99" i="2"/>
  <c r="AF100" i="2"/>
  <c r="AG11" i="2"/>
  <c r="AF11" i="2"/>
  <c r="AD12" i="2"/>
  <c r="AD13" i="2"/>
  <c r="AD14" i="2"/>
  <c r="AD15" i="2"/>
  <c r="AD16" i="2"/>
  <c r="AD17" i="2"/>
  <c r="AD18" i="2"/>
  <c r="AD19" i="2"/>
  <c r="AD20" i="2"/>
  <c r="AD21" i="2"/>
  <c r="AD22" i="2"/>
  <c r="AD23" i="2"/>
  <c r="AD24" i="2"/>
  <c r="AD25" i="2"/>
  <c r="AD26" i="2"/>
  <c r="AD27" i="2"/>
  <c r="AD28" i="2"/>
  <c r="AD29" i="2"/>
  <c r="AD30" i="2"/>
  <c r="AD31" i="2"/>
  <c r="AD32" i="2"/>
  <c r="AD33" i="2"/>
  <c r="AD34" i="2"/>
  <c r="AD35" i="2"/>
  <c r="AD36" i="2"/>
  <c r="AD37" i="2"/>
  <c r="AD38" i="2"/>
  <c r="AD39" i="2"/>
  <c r="AD40" i="2"/>
  <c r="AD41" i="2"/>
  <c r="AD42" i="2"/>
  <c r="AD43" i="2"/>
  <c r="AD44" i="2"/>
  <c r="AD45" i="2"/>
  <c r="AD46" i="2"/>
  <c r="AD47" i="2"/>
  <c r="AD48" i="2"/>
  <c r="AD49" i="2"/>
  <c r="AD50" i="2"/>
  <c r="AD51" i="2"/>
  <c r="AD52" i="2"/>
  <c r="AD53" i="2"/>
  <c r="AD54" i="2"/>
  <c r="AD55" i="2"/>
  <c r="AD56" i="2"/>
  <c r="AD57" i="2"/>
  <c r="AD58" i="2"/>
  <c r="AD59" i="2"/>
  <c r="AD60" i="2"/>
  <c r="AD61" i="2"/>
  <c r="AD62" i="2"/>
  <c r="AD63" i="2"/>
  <c r="AD64" i="2"/>
  <c r="AD65" i="2"/>
  <c r="AD66" i="2"/>
  <c r="AD67" i="2"/>
  <c r="AD68" i="2"/>
  <c r="AD69" i="2"/>
  <c r="AD70" i="2"/>
  <c r="AD71" i="2"/>
  <c r="AD72" i="2"/>
  <c r="AD73" i="2"/>
  <c r="AD74" i="2"/>
  <c r="AD75" i="2"/>
  <c r="AD76" i="2"/>
  <c r="AD77" i="2"/>
  <c r="AD78" i="2"/>
  <c r="AD79" i="2"/>
  <c r="AD80" i="2"/>
  <c r="AD81" i="2"/>
  <c r="AD82" i="2"/>
  <c r="AD83" i="2"/>
  <c r="AD84" i="2"/>
  <c r="AD85" i="2"/>
  <c r="AD86" i="2"/>
  <c r="AD87" i="2"/>
  <c r="AD88" i="2"/>
  <c r="AD89" i="2"/>
  <c r="AD90" i="2"/>
  <c r="AD91" i="2"/>
  <c r="AD92" i="2"/>
  <c r="AD93" i="2"/>
  <c r="AD94" i="2"/>
  <c r="AD95" i="2"/>
  <c r="AD96" i="2"/>
  <c r="AD97" i="2"/>
  <c r="AD98" i="2"/>
  <c r="AD99" i="2"/>
  <c r="AD100" i="2"/>
  <c r="AD11" i="2"/>
  <c r="Q12" i="2"/>
  <c r="P12" i="2" s="1"/>
  <c r="Q13" i="2"/>
  <c r="P13" i="2" s="1"/>
  <c r="Q14" i="2"/>
  <c r="P14" i="2" s="1"/>
  <c r="Q15" i="2"/>
  <c r="P15" i="2" s="1"/>
  <c r="Q16" i="2"/>
  <c r="P16" i="2" s="1"/>
  <c r="Q17" i="2"/>
  <c r="P17" i="2" s="1"/>
  <c r="Q18" i="2"/>
  <c r="P18" i="2" s="1"/>
  <c r="Q19" i="2"/>
  <c r="P19" i="2" s="1"/>
  <c r="Q20" i="2"/>
  <c r="P20" i="2" s="1"/>
  <c r="Q21" i="2"/>
  <c r="P21" i="2" s="1"/>
  <c r="Q22" i="2"/>
  <c r="P22" i="2" s="1"/>
  <c r="Q23" i="2"/>
  <c r="P23" i="2" s="1"/>
  <c r="Q24" i="2"/>
  <c r="P24" i="2" s="1"/>
  <c r="Q25" i="2"/>
  <c r="P25" i="2" s="1"/>
  <c r="Q26" i="2"/>
  <c r="P26" i="2" s="1"/>
  <c r="Q27" i="2"/>
  <c r="P27" i="2" s="1"/>
  <c r="Q28" i="2"/>
  <c r="P28" i="2" s="1"/>
  <c r="Q29" i="2"/>
  <c r="P29" i="2" s="1"/>
  <c r="Q30" i="2"/>
  <c r="P30" i="2" s="1"/>
  <c r="Q31" i="2"/>
  <c r="P31" i="2" s="1"/>
  <c r="Q32" i="2"/>
  <c r="P32" i="2" s="1"/>
  <c r="Q33" i="2"/>
  <c r="P33" i="2" s="1"/>
  <c r="Q34" i="2"/>
  <c r="P34" i="2" s="1"/>
  <c r="Q35" i="2"/>
  <c r="P35" i="2" s="1"/>
  <c r="Q36" i="2"/>
  <c r="P36" i="2" s="1"/>
  <c r="Q37" i="2"/>
  <c r="P37" i="2" s="1"/>
  <c r="Q38" i="2"/>
  <c r="P38" i="2" s="1"/>
  <c r="Q39" i="2"/>
  <c r="P39" i="2" s="1"/>
  <c r="Q40" i="2"/>
  <c r="P40" i="2" s="1"/>
  <c r="Q41" i="2"/>
  <c r="P41" i="2" s="1"/>
  <c r="Q42" i="2"/>
  <c r="P42" i="2" s="1"/>
  <c r="Q43" i="2"/>
  <c r="P43" i="2" s="1"/>
  <c r="Q44" i="2"/>
  <c r="P44" i="2" s="1"/>
  <c r="Q45" i="2"/>
  <c r="P45" i="2" s="1"/>
  <c r="Q46" i="2"/>
  <c r="P46" i="2" s="1"/>
  <c r="Q47" i="2"/>
  <c r="P47" i="2" s="1"/>
  <c r="Q48" i="2"/>
  <c r="P48" i="2" s="1"/>
  <c r="Q49" i="2"/>
  <c r="P49" i="2" s="1"/>
  <c r="Q50" i="2"/>
  <c r="P50" i="2" s="1"/>
  <c r="Q51" i="2"/>
  <c r="P51" i="2" s="1"/>
  <c r="Q52" i="2"/>
  <c r="P52" i="2" s="1"/>
  <c r="Q53" i="2"/>
  <c r="P53" i="2" s="1"/>
  <c r="Q54" i="2"/>
  <c r="P54" i="2" s="1"/>
  <c r="Q55" i="2"/>
  <c r="P55" i="2" s="1"/>
  <c r="Q56" i="2"/>
  <c r="P56" i="2" s="1"/>
  <c r="Q57" i="2"/>
  <c r="P57" i="2" s="1"/>
  <c r="Q58" i="2"/>
  <c r="P58" i="2" s="1"/>
  <c r="Q59" i="2"/>
  <c r="P59" i="2" s="1"/>
  <c r="Q60" i="2"/>
  <c r="P60" i="2" s="1"/>
  <c r="Q61" i="2"/>
  <c r="P61" i="2" s="1"/>
  <c r="Q62" i="2"/>
  <c r="P62" i="2" s="1"/>
  <c r="Q63" i="2"/>
  <c r="P63" i="2" s="1"/>
  <c r="Q64" i="2"/>
  <c r="P64" i="2" s="1"/>
  <c r="Q65" i="2"/>
  <c r="P65" i="2" s="1"/>
  <c r="Q66" i="2"/>
  <c r="P66" i="2" s="1"/>
  <c r="Q67" i="2"/>
  <c r="P67" i="2" s="1"/>
  <c r="Q68" i="2"/>
  <c r="P68" i="2" s="1"/>
  <c r="Q69" i="2"/>
  <c r="P69" i="2" s="1"/>
  <c r="Q70" i="2"/>
  <c r="P70" i="2" s="1"/>
  <c r="Q71" i="2"/>
  <c r="P71" i="2" s="1"/>
  <c r="Q72" i="2"/>
  <c r="P72" i="2" s="1"/>
  <c r="Q73" i="2"/>
  <c r="P73" i="2" s="1"/>
  <c r="Q74" i="2"/>
  <c r="P74" i="2" s="1"/>
  <c r="Q75" i="2"/>
  <c r="P75" i="2" s="1"/>
  <c r="Q76" i="2"/>
  <c r="P76" i="2" s="1"/>
  <c r="Q77" i="2"/>
  <c r="P77" i="2" s="1"/>
  <c r="Q78" i="2"/>
  <c r="P78" i="2" s="1"/>
  <c r="Q79" i="2"/>
  <c r="P79" i="2" s="1"/>
  <c r="Q80" i="2"/>
  <c r="P80" i="2" s="1"/>
  <c r="Q81" i="2"/>
  <c r="P81" i="2" s="1"/>
  <c r="Q82" i="2"/>
  <c r="P82" i="2" s="1"/>
  <c r="Q83" i="2"/>
  <c r="P83" i="2" s="1"/>
  <c r="Q84" i="2"/>
  <c r="P84" i="2" s="1"/>
  <c r="Q85" i="2"/>
  <c r="P85" i="2" s="1"/>
  <c r="Q86" i="2"/>
  <c r="P86" i="2" s="1"/>
  <c r="Q87" i="2"/>
  <c r="P87" i="2" s="1"/>
  <c r="Q88" i="2"/>
  <c r="P88" i="2" s="1"/>
  <c r="Q89" i="2"/>
  <c r="P89" i="2" s="1"/>
  <c r="Q90" i="2"/>
  <c r="P90" i="2" s="1"/>
  <c r="Q91" i="2"/>
  <c r="P91" i="2" s="1"/>
  <c r="Q92" i="2"/>
  <c r="P92" i="2" s="1"/>
  <c r="Q93" i="2"/>
  <c r="P93" i="2" s="1"/>
  <c r="Q94" i="2"/>
  <c r="P94" i="2" s="1"/>
  <c r="Q95" i="2"/>
  <c r="P95" i="2" s="1"/>
  <c r="Q96" i="2"/>
  <c r="P96" i="2" s="1"/>
  <c r="Q97" i="2"/>
  <c r="P97" i="2" s="1"/>
  <c r="Q98" i="2"/>
  <c r="P98" i="2" s="1"/>
  <c r="Q99" i="2"/>
  <c r="P99" i="2" s="1"/>
  <c r="Q100" i="2"/>
  <c r="P100" i="2" s="1"/>
  <c r="Q11" i="2"/>
  <c r="P11" i="2" s="1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4" i="2"/>
  <c r="AB45" i="2"/>
  <c r="AB46" i="2"/>
  <c r="AB47" i="2"/>
  <c r="AB48" i="2"/>
  <c r="AB49" i="2"/>
  <c r="AB50" i="2"/>
  <c r="AB51" i="2"/>
  <c r="AB52" i="2"/>
  <c r="AB53" i="2"/>
  <c r="AB54" i="2"/>
  <c r="AB55" i="2"/>
  <c r="AB56" i="2"/>
  <c r="AB57" i="2"/>
  <c r="AB58" i="2"/>
  <c r="AB59" i="2"/>
  <c r="AB60" i="2"/>
  <c r="AB61" i="2"/>
  <c r="AB62" i="2"/>
  <c r="AB63" i="2"/>
  <c r="AB64" i="2"/>
  <c r="AB65" i="2"/>
  <c r="AB66" i="2"/>
  <c r="AB67" i="2"/>
  <c r="AB68" i="2"/>
  <c r="AB69" i="2"/>
  <c r="AB70" i="2"/>
  <c r="AB71" i="2"/>
  <c r="AB72" i="2"/>
  <c r="AB73" i="2"/>
  <c r="AB74" i="2"/>
  <c r="AB75" i="2"/>
  <c r="AB76" i="2"/>
  <c r="AB77" i="2"/>
  <c r="AB78" i="2"/>
  <c r="AB79" i="2"/>
  <c r="AB80" i="2"/>
  <c r="AB81" i="2"/>
  <c r="AB82" i="2"/>
  <c r="AB83" i="2"/>
  <c r="AB84" i="2"/>
  <c r="AB85" i="2"/>
  <c r="AB86" i="2"/>
  <c r="AB87" i="2"/>
  <c r="AB88" i="2"/>
  <c r="AB89" i="2"/>
  <c r="AB90" i="2"/>
  <c r="AB91" i="2"/>
  <c r="AB92" i="2"/>
  <c r="AB93" i="2"/>
  <c r="AB94" i="2"/>
  <c r="AB95" i="2"/>
  <c r="AB96" i="2"/>
  <c r="AB97" i="2"/>
  <c r="AB98" i="2"/>
  <c r="AB99" i="2"/>
  <c r="AB100" i="2"/>
  <c r="AB11" i="2"/>
  <c r="AA12" i="2"/>
  <c r="AA13" i="2"/>
  <c r="AA14" i="2"/>
  <c r="AA15" i="2"/>
  <c r="AA16" i="2"/>
  <c r="AA17" i="2"/>
  <c r="AA18" i="2"/>
  <c r="AA19" i="2"/>
  <c r="AA20" i="2"/>
  <c r="AA21" i="2"/>
  <c r="AA22" i="2"/>
  <c r="AA23" i="2"/>
  <c r="AA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38" i="2"/>
  <c r="AA39" i="2"/>
  <c r="AA40" i="2"/>
  <c r="AA41" i="2"/>
  <c r="AA42" i="2"/>
  <c r="AA43" i="2"/>
  <c r="AA44" i="2"/>
  <c r="AA45" i="2"/>
  <c r="AA46" i="2"/>
  <c r="AA47" i="2"/>
  <c r="AA48" i="2"/>
  <c r="AA49" i="2"/>
  <c r="AA50" i="2"/>
  <c r="AA51" i="2"/>
  <c r="AA52" i="2"/>
  <c r="AA53" i="2"/>
  <c r="AA54" i="2"/>
  <c r="AA55" i="2"/>
  <c r="AA56" i="2"/>
  <c r="AA57" i="2"/>
  <c r="AA58" i="2"/>
  <c r="AA59" i="2"/>
  <c r="AA60" i="2"/>
  <c r="AA61" i="2"/>
  <c r="AA62" i="2"/>
  <c r="AA63" i="2"/>
  <c r="AA64" i="2"/>
  <c r="AA65" i="2"/>
  <c r="AA66" i="2"/>
  <c r="AA67" i="2"/>
  <c r="AA68" i="2"/>
  <c r="AA69" i="2"/>
  <c r="AA70" i="2"/>
  <c r="AA71" i="2"/>
  <c r="AA72" i="2"/>
  <c r="AA73" i="2"/>
  <c r="AA74" i="2"/>
  <c r="AA75" i="2"/>
  <c r="AA76" i="2"/>
  <c r="AA77" i="2"/>
  <c r="AA78" i="2"/>
  <c r="AA79" i="2"/>
  <c r="AA80" i="2"/>
  <c r="AA81" i="2"/>
  <c r="AA82" i="2"/>
  <c r="AA83" i="2"/>
  <c r="AA84" i="2"/>
  <c r="AA85" i="2"/>
  <c r="AA86" i="2"/>
  <c r="AA87" i="2"/>
  <c r="AA88" i="2"/>
  <c r="AA89" i="2"/>
  <c r="AA90" i="2"/>
  <c r="AA91" i="2"/>
  <c r="AA92" i="2"/>
  <c r="AA93" i="2"/>
  <c r="AA94" i="2"/>
  <c r="AA95" i="2"/>
  <c r="AA96" i="2"/>
  <c r="AA97" i="2"/>
  <c r="AA98" i="2"/>
  <c r="AA99" i="2"/>
  <c r="AA100" i="2"/>
  <c r="AA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1" i="2"/>
  <c r="S11" i="2"/>
  <c r="M12" i="2"/>
  <c r="N12" i="2"/>
  <c r="O12" i="2"/>
  <c r="M13" i="2"/>
  <c r="N13" i="2"/>
  <c r="O13" i="2"/>
  <c r="M14" i="2"/>
  <c r="N14" i="2"/>
  <c r="O14" i="2"/>
  <c r="M15" i="2"/>
  <c r="N15" i="2"/>
  <c r="O15" i="2"/>
  <c r="M16" i="2"/>
  <c r="N16" i="2"/>
  <c r="O16" i="2"/>
  <c r="M17" i="2"/>
  <c r="N17" i="2"/>
  <c r="O17" i="2"/>
  <c r="M18" i="2"/>
  <c r="N18" i="2"/>
  <c r="O18" i="2"/>
  <c r="M19" i="2"/>
  <c r="N19" i="2"/>
  <c r="O19" i="2"/>
  <c r="M20" i="2"/>
  <c r="N20" i="2"/>
  <c r="O20" i="2"/>
  <c r="M21" i="2"/>
  <c r="N21" i="2"/>
  <c r="O21" i="2"/>
  <c r="M22" i="2"/>
  <c r="N22" i="2"/>
  <c r="O22" i="2"/>
  <c r="M23" i="2"/>
  <c r="N23" i="2"/>
  <c r="O23" i="2"/>
  <c r="M24" i="2"/>
  <c r="N24" i="2"/>
  <c r="O24" i="2"/>
  <c r="M25" i="2"/>
  <c r="AH25" i="2" s="1"/>
  <c r="N25" i="2"/>
  <c r="O25" i="2"/>
  <c r="M26" i="2"/>
  <c r="N26" i="2"/>
  <c r="O26" i="2"/>
  <c r="M27" i="2"/>
  <c r="N27" i="2"/>
  <c r="O27" i="2"/>
  <c r="M28" i="2"/>
  <c r="N28" i="2"/>
  <c r="O28" i="2"/>
  <c r="M29" i="2"/>
  <c r="N29" i="2"/>
  <c r="O29" i="2"/>
  <c r="M30" i="2"/>
  <c r="N30" i="2"/>
  <c r="O30" i="2"/>
  <c r="M31" i="2"/>
  <c r="AH31" i="2" s="1"/>
  <c r="N31" i="2"/>
  <c r="O31" i="2"/>
  <c r="M32" i="2"/>
  <c r="AH32" i="2" s="1"/>
  <c r="N32" i="2"/>
  <c r="O32" i="2"/>
  <c r="M33" i="2"/>
  <c r="AH33" i="2" s="1"/>
  <c r="N33" i="2"/>
  <c r="O33" i="2"/>
  <c r="M34" i="2"/>
  <c r="N34" i="2"/>
  <c r="O34" i="2"/>
  <c r="M35" i="2"/>
  <c r="N35" i="2"/>
  <c r="O35" i="2"/>
  <c r="M36" i="2"/>
  <c r="N36" i="2"/>
  <c r="O36" i="2"/>
  <c r="M37" i="2"/>
  <c r="N37" i="2"/>
  <c r="O37" i="2"/>
  <c r="M38" i="2"/>
  <c r="N38" i="2"/>
  <c r="O38" i="2"/>
  <c r="M39" i="2"/>
  <c r="N39" i="2"/>
  <c r="O39" i="2"/>
  <c r="M40" i="2"/>
  <c r="N40" i="2"/>
  <c r="O40" i="2"/>
  <c r="M41" i="2"/>
  <c r="N41" i="2"/>
  <c r="O41" i="2"/>
  <c r="M42" i="2"/>
  <c r="N42" i="2"/>
  <c r="O42" i="2"/>
  <c r="M43" i="2"/>
  <c r="N43" i="2"/>
  <c r="O43" i="2"/>
  <c r="M44" i="2"/>
  <c r="N44" i="2"/>
  <c r="O44" i="2"/>
  <c r="M45" i="2"/>
  <c r="N45" i="2"/>
  <c r="O45" i="2"/>
  <c r="M46" i="2"/>
  <c r="N46" i="2"/>
  <c r="O46" i="2"/>
  <c r="M47" i="2"/>
  <c r="N47" i="2"/>
  <c r="O47" i="2"/>
  <c r="M48" i="2"/>
  <c r="N48" i="2"/>
  <c r="O48" i="2"/>
  <c r="M49" i="2"/>
  <c r="N49" i="2"/>
  <c r="O49" i="2"/>
  <c r="M50" i="2"/>
  <c r="N50" i="2"/>
  <c r="O50" i="2"/>
  <c r="M51" i="2"/>
  <c r="N51" i="2"/>
  <c r="O51" i="2"/>
  <c r="M52" i="2"/>
  <c r="N52" i="2"/>
  <c r="O52" i="2"/>
  <c r="M53" i="2"/>
  <c r="N53" i="2"/>
  <c r="O53" i="2"/>
  <c r="M54" i="2"/>
  <c r="N54" i="2"/>
  <c r="O54" i="2"/>
  <c r="M55" i="2"/>
  <c r="N55" i="2"/>
  <c r="O55" i="2"/>
  <c r="M56" i="2"/>
  <c r="N56" i="2"/>
  <c r="O56" i="2"/>
  <c r="M57" i="2"/>
  <c r="N57" i="2"/>
  <c r="O57" i="2"/>
  <c r="M58" i="2"/>
  <c r="N58" i="2"/>
  <c r="O58" i="2"/>
  <c r="M59" i="2"/>
  <c r="N59" i="2"/>
  <c r="O59" i="2"/>
  <c r="M60" i="2"/>
  <c r="N60" i="2"/>
  <c r="O60" i="2"/>
  <c r="M61" i="2"/>
  <c r="N61" i="2"/>
  <c r="O61" i="2"/>
  <c r="M62" i="2"/>
  <c r="N62" i="2"/>
  <c r="O62" i="2"/>
  <c r="M63" i="2"/>
  <c r="N63" i="2"/>
  <c r="O63" i="2"/>
  <c r="M64" i="2"/>
  <c r="N64" i="2"/>
  <c r="O64" i="2"/>
  <c r="M65" i="2"/>
  <c r="N65" i="2"/>
  <c r="O65" i="2"/>
  <c r="M66" i="2"/>
  <c r="N66" i="2"/>
  <c r="O66" i="2"/>
  <c r="M67" i="2"/>
  <c r="N67" i="2"/>
  <c r="O67" i="2"/>
  <c r="M68" i="2"/>
  <c r="N68" i="2"/>
  <c r="O68" i="2"/>
  <c r="M69" i="2"/>
  <c r="N69" i="2"/>
  <c r="O69" i="2"/>
  <c r="M70" i="2"/>
  <c r="N70" i="2"/>
  <c r="O70" i="2"/>
  <c r="M71" i="2"/>
  <c r="N71" i="2"/>
  <c r="O71" i="2"/>
  <c r="M72" i="2"/>
  <c r="N72" i="2"/>
  <c r="O72" i="2"/>
  <c r="M73" i="2"/>
  <c r="N73" i="2"/>
  <c r="O73" i="2"/>
  <c r="M74" i="2"/>
  <c r="N74" i="2"/>
  <c r="O74" i="2"/>
  <c r="M75" i="2"/>
  <c r="N75" i="2"/>
  <c r="O75" i="2"/>
  <c r="M76" i="2"/>
  <c r="N76" i="2"/>
  <c r="O76" i="2"/>
  <c r="M77" i="2"/>
  <c r="N77" i="2"/>
  <c r="O77" i="2"/>
  <c r="M78" i="2"/>
  <c r="N78" i="2"/>
  <c r="O78" i="2"/>
  <c r="M79" i="2"/>
  <c r="N79" i="2"/>
  <c r="O79" i="2"/>
  <c r="M80" i="2"/>
  <c r="N80" i="2"/>
  <c r="O80" i="2"/>
  <c r="M81" i="2"/>
  <c r="N81" i="2"/>
  <c r="O81" i="2"/>
  <c r="M82" i="2"/>
  <c r="N82" i="2"/>
  <c r="O82" i="2"/>
  <c r="M83" i="2"/>
  <c r="N83" i="2"/>
  <c r="O83" i="2"/>
  <c r="M84" i="2"/>
  <c r="N84" i="2"/>
  <c r="O84" i="2"/>
  <c r="M85" i="2"/>
  <c r="N85" i="2"/>
  <c r="O85" i="2"/>
  <c r="M86" i="2"/>
  <c r="N86" i="2"/>
  <c r="O86" i="2"/>
  <c r="M87" i="2"/>
  <c r="N87" i="2"/>
  <c r="O87" i="2"/>
  <c r="M88" i="2"/>
  <c r="N88" i="2"/>
  <c r="O88" i="2"/>
  <c r="M89" i="2"/>
  <c r="N89" i="2"/>
  <c r="O89" i="2"/>
  <c r="M90" i="2"/>
  <c r="N90" i="2"/>
  <c r="O90" i="2"/>
  <c r="M91" i="2"/>
  <c r="N91" i="2"/>
  <c r="O91" i="2"/>
  <c r="M92" i="2"/>
  <c r="N92" i="2"/>
  <c r="O92" i="2"/>
  <c r="M93" i="2"/>
  <c r="N93" i="2"/>
  <c r="O93" i="2"/>
  <c r="M94" i="2"/>
  <c r="N94" i="2"/>
  <c r="O94" i="2"/>
  <c r="M95" i="2"/>
  <c r="N95" i="2"/>
  <c r="O95" i="2"/>
  <c r="M96" i="2"/>
  <c r="N96" i="2"/>
  <c r="O96" i="2"/>
  <c r="M97" i="2"/>
  <c r="N97" i="2"/>
  <c r="O97" i="2"/>
  <c r="M98" i="2"/>
  <c r="N98" i="2"/>
  <c r="O98" i="2"/>
  <c r="M99" i="2"/>
  <c r="N99" i="2"/>
  <c r="O99" i="2"/>
  <c r="M100" i="2"/>
  <c r="N100" i="2"/>
  <c r="O100" i="2"/>
  <c r="O11" i="2"/>
  <c r="N11" i="2"/>
  <c r="M11" i="2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203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25" i="1"/>
  <c r="AH29" i="2" l="1"/>
  <c r="AH27" i="2"/>
  <c r="AH26" i="2"/>
  <c r="AH22" i="2"/>
  <c r="AH24" i="2"/>
  <c r="AH23" i="2"/>
  <c r="AH20" i="2"/>
  <c r="AH28" i="2"/>
  <c r="AH21" i="2"/>
  <c r="AH15" i="2"/>
  <c r="AH18" i="2"/>
  <c r="AH16" i="2"/>
  <c r="AH19" i="2"/>
  <c r="AH17" i="2"/>
  <c r="AH14" i="2"/>
  <c r="AH13" i="2"/>
  <c r="AH11" i="2"/>
  <c r="AH12" i="2"/>
</calcChain>
</file>

<file path=xl/sharedStrings.xml><?xml version="1.0" encoding="utf-8"?>
<sst xmlns="http://schemas.openxmlformats.org/spreadsheetml/2006/main" count="276" uniqueCount="158">
  <si>
    <t>USE FEC_Corporate</t>
  </si>
  <si>
    <t>CORP ID</t>
  </si>
  <si>
    <t>Description</t>
  </si>
  <si>
    <t>MAC Address</t>
  </si>
  <si>
    <t>Location ID</t>
  </si>
  <si>
    <t>CR_MAC Script</t>
  </si>
  <si>
    <t>USE DebitCard_Data</t>
  </si>
  <si>
    <t>Type</t>
  </si>
  <si>
    <t>r</t>
  </si>
  <si>
    <t>Game Group ID</t>
  </si>
  <si>
    <t>Game Sub Group ID</t>
  </si>
  <si>
    <t>Device Interface</t>
  </si>
  <si>
    <t>r =</t>
  </si>
  <si>
    <t xml:space="preserve">v = </t>
  </si>
  <si>
    <t xml:space="preserve">c = </t>
  </si>
  <si>
    <t xml:space="preserve">m = </t>
  </si>
  <si>
    <t>Redemption</t>
  </si>
  <si>
    <t>Video</t>
  </si>
  <si>
    <t>Crane</t>
  </si>
  <si>
    <t>Merch</t>
  </si>
  <si>
    <t>Eclipse Color</t>
  </si>
  <si>
    <t>yes</t>
  </si>
  <si>
    <t>Time Play on Video?</t>
  </si>
  <si>
    <t>Credit Card Readers?</t>
  </si>
  <si>
    <t>Allow Tickets</t>
  </si>
  <si>
    <t>Timeplay Eclipse Color</t>
  </si>
  <si>
    <t>Ecliplse Color Code</t>
  </si>
  <si>
    <t>GO</t>
  </si>
  <si>
    <t>Timeplay on Video?</t>
  </si>
  <si>
    <t>Impulse Readers?</t>
  </si>
  <si>
    <t>DECLARE @TagID BIGINT</t>
  </si>
  <si>
    <t>Transaction Server 1</t>
  </si>
  <si>
    <t>Transaction Server 2</t>
  </si>
  <si>
    <t>Teller 1</t>
  </si>
  <si>
    <t>Teller 2</t>
  </si>
  <si>
    <t>Teller 3</t>
  </si>
  <si>
    <t>Teller 4</t>
  </si>
  <si>
    <t>POS 1</t>
  </si>
  <si>
    <t>POS 2</t>
  </si>
  <si>
    <t>POS 3</t>
  </si>
  <si>
    <t>POS 4</t>
  </si>
  <si>
    <t>POS 5</t>
  </si>
  <si>
    <t>POS 6</t>
  </si>
  <si>
    <t>POS 7</t>
  </si>
  <si>
    <t>POS 8</t>
  </si>
  <si>
    <t>Teller 5</t>
  </si>
  <si>
    <t>Teller 6</t>
  </si>
  <si>
    <t>Teller 7</t>
  </si>
  <si>
    <t>Teller 8</t>
  </si>
  <si>
    <t>Email Proxy</t>
  </si>
  <si>
    <t>GA Proxy</t>
  </si>
  <si>
    <t>TS1</t>
  </si>
  <si>
    <t>TS2</t>
  </si>
  <si>
    <t>Proxy</t>
  </si>
  <si>
    <t>POS1</t>
  </si>
  <si>
    <t>POS2</t>
  </si>
  <si>
    <t>POS3</t>
  </si>
  <si>
    <t>POS4</t>
  </si>
  <si>
    <t>POS5</t>
  </si>
  <si>
    <t>POS6</t>
  </si>
  <si>
    <t>POS7</t>
  </si>
  <si>
    <t>POS8</t>
  </si>
  <si>
    <t>Teller1</t>
  </si>
  <si>
    <t>Teller2</t>
  </si>
  <si>
    <t>Teller3</t>
  </si>
  <si>
    <t>Teller4</t>
  </si>
  <si>
    <t>Teller5</t>
  </si>
  <si>
    <t>Teller6</t>
  </si>
  <si>
    <t>Teller7</t>
  </si>
  <si>
    <t>Teller8</t>
  </si>
  <si>
    <t>FEC1</t>
  </si>
  <si>
    <t>FEC2</t>
  </si>
  <si>
    <t>FEC3</t>
  </si>
  <si>
    <t>FEC4</t>
  </si>
  <si>
    <t>FEC5</t>
  </si>
  <si>
    <t>Stand-Alone Site, or any site that has</t>
  </si>
  <si>
    <t>(As needed)</t>
  </si>
  <si>
    <t>30:0e:d5:3a:88:23</t>
  </si>
  <si>
    <t>84:3a:5b:90:26:52</t>
  </si>
  <si>
    <t>84:3a:5b:90:56:74</t>
  </si>
  <si>
    <t>84:3a:5b:90:46:e6</t>
  </si>
  <si>
    <t>00:40:b3:8c:c2:9d</t>
  </si>
  <si>
    <t>00:40:b3:8c:0b:3e</t>
  </si>
  <si>
    <t>Owner Laptop</t>
  </si>
  <si>
    <t>30:0e:d5:29:24:aa</t>
  </si>
  <si>
    <t xml:space="preserve">     Third Party Devices</t>
  </si>
  <si>
    <t>30-0e-d5-36-9c-b6</t>
  </si>
  <si>
    <t>FEC_Corporate and DebitCard_Data in same instance</t>
  </si>
  <si>
    <t>Location Name</t>
  </si>
  <si>
    <t>round1.intercardinc.com</t>
  </si>
  <si>
    <t>USE GlobalAccounts</t>
  </si>
  <si>
    <t>Web Service URL</t>
  </si>
  <si>
    <t>EMAIL1234567</t>
  </si>
  <si>
    <t>GAPROXY12345</t>
  </si>
  <si>
    <t>Separate FEC_Corporate and DebitCard_Data</t>
  </si>
  <si>
    <t>Fusion Skeeball</t>
  </si>
  <si>
    <t>4084323228AF</t>
  </si>
  <si>
    <t>408432322592</t>
  </si>
  <si>
    <t>Gemini Big USA ver</t>
  </si>
  <si>
    <t>4084323222E7</t>
  </si>
  <si>
    <t>408432322456</t>
  </si>
  <si>
    <t>40843232251A</t>
  </si>
  <si>
    <t>408432322CF2</t>
  </si>
  <si>
    <t>408432322543</t>
  </si>
  <si>
    <t>408432322310</t>
  </si>
  <si>
    <t>408432322491</t>
  </si>
  <si>
    <t>40843232237E</t>
  </si>
  <si>
    <t>408432322545</t>
  </si>
  <si>
    <t>4084323223F5</t>
  </si>
  <si>
    <t>40843232240B</t>
  </si>
  <si>
    <t>4084323222D9</t>
  </si>
  <si>
    <t>4084323223F6</t>
  </si>
  <si>
    <t>408432322556</t>
  </si>
  <si>
    <t>40843231FEEF</t>
  </si>
  <si>
    <t>4084323234C7</t>
  </si>
  <si>
    <t>4084323223C9</t>
  </si>
  <si>
    <t>c</t>
  </si>
  <si>
    <t>v</t>
  </si>
  <si>
    <t>yellow</t>
  </si>
  <si>
    <t>green</t>
  </si>
  <si>
    <t>Designed and built by Josh Colby</t>
  </si>
  <si>
    <r>
      <t xml:space="preserve">       </t>
    </r>
    <r>
      <rPr>
        <b/>
        <sz val="20"/>
        <color rgb="FFFF252E"/>
        <rFont val="Aptos Narrow"/>
        <scheme val="minor"/>
      </rPr>
      <t xml:space="preserve">    FEC Devices</t>
    </r>
  </si>
  <si>
    <t>Roseville Mall</t>
  </si>
  <si>
    <t>Tech PC</t>
  </si>
  <si>
    <t>30-0E-D5-29-24-BC</t>
  </si>
  <si>
    <t>30:0e:d5:35:f5:98</t>
  </si>
  <si>
    <t>30:0e:d5:3b:ca:fc</t>
  </si>
  <si>
    <t>30:0e:d5:36:9c:b6</t>
  </si>
  <si>
    <t>30:0e:d5:3a:88:34</t>
  </si>
  <si>
    <t>30:0e:d5:3a:88:33</t>
  </si>
  <si>
    <t>30:0e:d5:3a:08:5a</t>
  </si>
  <si>
    <t>30:0e:d5:3a:88:9b</t>
  </si>
  <si>
    <t>30:0e:d5:3a:89:60</t>
  </si>
  <si>
    <t>30:0e:d5:3a:87:fd</t>
  </si>
  <si>
    <t>30:0e:d5:3a:03:16</t>
  </si>
  <si>
    <t>30:0e:d5:3a:88:35</t>
  </si>
  <si>
    <t>30:0e:d5:3a:89:5c</t>
  </si>
  <si>
    <t>30:0e:d5:3a:89:59</t>
  </si>
  <si>
    <t>30:0e:d5:3a:88:d9</t>
  </si>
  <si>
    <t>30:0e:d5:3a:88:70</t>
  </si>
  <si>
    <t>30:0e:d5:35:bc:c0</t>
  </si>
  <si>
    <t>VCB001</t>
  </si>
  <si>
    <t>VCB002</t>
  </si>
  <si>
    <t>VCB003</t>
  </si>
  <si>
    <t>VCC502</t>
  </si>
  <si>
    <t>VCC503</t>
  </si>
  <si>
    <t>VCC504</t>
  </si>
  <si>
    <t>VCC505</t>
  </si>
  <si>
    <t>VCC506</t>
  </si>
  <si>
    <t>VCC507</t>
  </si>
  <si>
    <t>VCC508</t>
  </si>
  <si>
    <t>VCC509</t>
  </si>
  <si>
    <t>VCC510</t>
  </si>
  <si>
    <t>VCC511</t>
  </si>
  <si>
    <t>VCC512</t>
  </si>
  <si>
    <t>VCC513</t>
  </si>
  <si>
    <t>VCC514</t>
  </si>
  <si>
    <t>VCC515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</si>
</sst>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0">
    <font>
      <sz val="11"/>
      <color theme="1"/>
      <name val="Aptos Narrow"/>
      <family val="2"/>
      <scheme val="minor"/>
    </font>
    <font>
      <sz val="11"/>
      <color rgb="FF00FF00"/>
      <name val="Aptos Narrow"/>
      <family val="2"/>
      <scheme val="minor"/>
    </font>
    <font>
      <b/>
      <sz val="14"/>
      <color rgb="FF00FF00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b/>
      <sz val="18"/>
      <color rgb="FF00FF00"/>
      <name val="Aptos Narrow"/>
      <family val="2"/>
      <scheme val="minor"/>
    </font>
    <font>
      <sz val="11"/>
      <color rgb="FFFD9E13"/>
      <name val="Aptos Narrow"/>
      <family val="2"/>
      <scheme val="minor"/>
    </font>
    <font>
      <b/>
      <sz val="14"/>
      <color rgb="FFFF0000"/>
      <name val="Aptos Narrow"/>
      <scheme val="minor"/>
    </font>
    <font>
      <b/>
      <sz val="18"/>
      <color rgb="FFFF252E"/>
      <name val="Aptos Narrow"/>
      <family val="2"/>
      <scheme val="minor"/>
    </font>
    <font>
      <sz val="11"/>
      <color rgb="FFFF252E"/>
      <name val="Aptos Narrow"/>
      <family val="2"/>
      <scheme val="minor"/>
    </font>
    <font>
      <b/>
      <sz val="12"/>
      <color rgb="FFFF252E"/>
      <name val="Aptos Narrow"/>
      <scheme val="minor"/>
    </font>
    <font>
      <sz val="11"/>
      <color rgb="FFFF252E"/>
      <name val="Aptos Narrow"/>
      <scheme val="minor"/>
    </font>
    <font>
      <b/>
      <sz val="20"/>
      <color rgb="FFFF252E"/>
      <name val="Aptos Narrow"/>
      <family val="2"/>
      <scheme val="minor"/>
    </font>
    <font>
      <b/>
      <sz val="14"/>
      <color rgb="FFFF252E"/>
      <name val="Aptos Narrow"/>
      <family val="2"/>
      <scheme val="minor"/>
    </font>
    <font>
      <sz val="20"/>
      <color rgb="FFFF252E"/>
      <name val="Aptos Narrow"/>
      <scheme val="minor"/>
    </font>
    <font>
      <b/>
      <sz val="20"/>
      <color rgb="FFFF252E"/>
      <name val="Aptos Narrow"/>
      <scheme val="minor"/>
    </font>
    <font>
      <b/>
      <sz val="14"/>
      <color rgb="FFFF252E"/>
      <name val="Aptos Narrow"/>
      <scheme val="minor"/>
    </font>
    <font>
      <b/>
      <sz val="18"/>
      <color theme="0"/>
      <name val="Aptos Narrow"/>
      <family val="2"/>
      <scheme val="minor"/>
    </font>
    <font>
      <sz val="12"/>
      <color theme="0"/>
      <name val="Aptos Narrow"/>
      <family val="2"/>
      <scheme val="minor"/>
    </font>
    <font>
      <b/>
      <sz val="12"/>
      <color theme="0"/>
      <name val="Aptos Narrow"/>
      <scheme val="minor"/>
    </font>
    <font>
      <sz val="11"/>
      <color theme="0"/>
      <name val="Aptos Narrow"/>
      <scheme val="minor"/>
    </font>
    <font>
      <sz val="8"/>
      <color rgb="FFFF252E"/>
      <name val="Aptos Narrow"/>
      <family val="2"/>
      <scheme val="minor"/>
    </font>
    <font>
      <b/>
      <sz val="12"/>
      <color theme="2"/>
      <name val="Aptos Narrow"/>
      <scheme val="minor"/>
    </font>
    <font>
      <sz val="12"/>
      <color theme="2"/>
      <name val="Aptos Narrow"/>
      <scheme val="minor"/>
    </font>
    <font>
      <sz val="12"/>
      <color theme="2"/>
      <name val="Aptos Narrow"/>
      <family val="2"/>
      <scheme val="minor"/>
    </font>
    <font>
      <b/>
      <sz val="14"/>
      <color theme="2"/>
      <name val="Aptos Narrow"/>
      <family val="2"/>
      <scheme val="minor"/>
    </font>
    <font>
      <b/>
      <sz val="18"/>
      <color theme="2"/>
      <name val="Aptos Narrow"/>
      <family val="2"/>
      <scheme val="minor"/>
    </font>
    <font>
      <b/>
      <sz val="12"/>
      <color theme="2"/>
      <name val="Aptos Narrow"/>
      <family val="2"/>
      <scheme val="minor"/>
    </font>
    <font>
      <sz val="11"/>
      <color theme="2"/>
      <name val="Aptos Narrow"/>
      <family val="2"/>
      <scheme val="minor"/>
    </font>
    <font>
      <b/>
      <sz val="16"/>
      <color theme="2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14999847407452621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/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 style="thin">
        <color theme="2"/>
      </top>
      <bottom style="thin">
        <color theme="2"/>
      </bottom>
      <diagonal/>
    </border>
    <border>
      <left style="thin">
        <color theme="2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theme="2"/>
      </left>
      <right style="thin">
        <color theme="2"/>
      </right>
      <top style="thin">
        <color theme="2"/>
      </top>
      <bottom/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2" borderId="0" xfId="0" applyFont="1" applyFill="1" applyProtection="1"/>
    <xf numFmtId="0" fontId="0" fillId="0" borderId="0" xfId="0" applyProtection="1"/>
    <xf numFmtId="0" fontId="1" fillId="4" borderId="0" xfId="0" applyFont="1" applyFill="1" applyProtection="1"/>
    <xf numFmtId="0" fontId="1" fillId="4" borderId="0" xfId="0" applyFont="1" applyFill="1" applyAlignment="1" applyProtection="1">
      <alignment horizontal="center" vertical="center"/>
    </xf>
    <xf numFmtId="0" fontId="1" fillId="4" borderId="0" xfId="0" applyFont="1" applyFill="1" applyBorder="1" applyAlignment="1" applyProtection="1">
      <alignment horizontal="center" vertical="center"/>
    </xf>
    <xf numFmtId="0" fontId="0" fillId="4" borderId="0" xfId="0" applyFill="1" applyProtection="1"/>
    <xf numFmtId="0" fontId="2" fillId="4" borderId="0" xfId="0" applyFont="1" applyFill="1" applyAlignment="1" applyProtection="1">
      <alignment horizontal="center" vertical="top"/>
      <protection locked="0"/>
    </xf>
    <xf numFmtId="0" fontId="2" fillId="4" borderId="0" xfId="0" applyFont="1" applyFill="1" applyAlignment="1" applyProtection="1">
      <alignment horizontal="center" vertical="center"/>
    </xf>
    <xf numFmtId="0" fontId="6" fillId="4" borderId="0" xfId="0" applyFont="1" applyFill="1" applyProtection="1"/>
    <xf numFmtId="0" fontId="7" fillId="4" borderId="0" xfId="0" applyFont="1" applyFill="1" applyProtection="1"/>
    <xf numFmtId="0" fontId="2" fillId="4" borderId="0" xfId="0" applyFont="1" applyFill="1" applyAlignment="1" applyProtection="1">
      <alignment horizontal="center" vertical="top"/>
    </xf>
    <xf numFmtId="0" fontId="5" fillId="4" borderId="8" xfId="0" applyFont="1" applyFill="1" applyBorder="1" applyAlignment="1" applyProtection="1">
      <alignment horizontal="center" vertical="top"/>
    </xf>
    <xf numFmtId="1" fontId="1" fillId="4" borderId="1" xfId="0" applyNumberFormat="1" applyFont="1" applyFill="1" applyBorder="1" applyAlignment="1" applyProtection="1">
      <alignment horizontal="center" vertical="center"/>
    </xf>
    <xf numFmtId="0" fontId="8" fillId="4" borderId="0" xfId="0" applyFont="1" applyFill="1" applyAlignment="1" applyProtection="1">
      <alignment horizontal="left" vertical="center"/>
    </xf>
    <xf numFmtId="0" fontId="9" fillId="4" borderId="0" xfId="0" applyFont="1" applyFill="1" applyProtection="1"/>
    <xf numFmtId="0" fontId="8" fillId="4" borderId="0" xfId="0" applyFont="1" applyFill="1" applyAlignment="1" applyProtection="1">
      <alignment horizontal="center" vertical="center"/>
    </xf>
    <xf numFmtId="0" fontId="10" fillId="4" borderId="0" xfId="0" applyFont="1" applyFill="1" applyAlignment="1" applyProtection="1">
      <alignment horizontal="center" vertical="center"/>
    </xf>
    <xf numFmtId="0" fontId="11" fillId="4" borderId="0" xfId="0" applyFont="1" applyFill="1" applyBorder="1" applyAlignment="1" applyProtection="1">
      <alignment horizontal="center" vertical="center"/>
    </xf>
    <xf numFmtId="0" fontId="9" fillId="4" borderId="0" xfId="0" applyFont="1" applyFill="1" applyAlignment="1" applyProtection="1">
      <alignment horizontal="center" vertical="center"/>
    </xf>
    <xf numFmtId="0" fontId="12" fillId="4" borderId="0" xfId="0" applyFont="1" applyFill="1" applyProtection="1"/>
    <xf numFmtId="0" fontId="13" fillId="3" borderId="4" xfId="0" applyFont="1" applyFill="1" applyBorder="1" applyAlignment="1" applyProtection="1">
      <alignment horizontal="center" vertical="top"/>
    </xf>
    <xf numFmtId="0" fontId="14" fillId="4" borderId="0" xfId="0" applyFont="1" applyFill="1" applyAlignment="1" applyProtection="1">
      <alignment horizontal="left"/>
    </xf>
    <xf numFmtId="0" fontId="11" fillId="4" borderId="0" xfId="0" applyFont="1" applyFill="1" applyProtection="1"/>
    <xf numFmtId="0" fontId="16" fillId="3" borderId="4" xfId="0" applyFont="1" applyFill="1" applyBorder="1" applyAlignment="1" applyProtection="1">
      <alignment horizontal="center"/>
    </xf>
    <xf numFmtId="0" fontId="3" fillId="4" borderId="0" xfId="0" applyFont="1" applyFill="1" applyProtection="1"/>
    <xf numFmtId="0" fontId="17" fillId="3" borderId="7" xfId="0" applyFont="1" applyFill="1" applyBorder="1" applyAlignment="1" applyProtection="1">
      <alignment horizontal="center" vertical="top"/>
    </xf>
    <xf numFmtId="0" fontId="19" fillId="4" borderId="0" xfId="0" applyFont="1" applyFill="1" applyProtection="1"/>
    <xf numFmtId="0" fontId="20" fillId="4" borderId="0" xfId="0" applyFont="1" applyFill="1" applyProtection="1"/>
    <xf numFmtId="0" fontId="20" fillId="4" borderId="0" xfId="0" applyFont="1" applyFill="1" applyAlignment="1" applyProtection="1">
      <alignment horizontal="center" vertical="center"/>
    </xf>
    <xf numFmtId="0" fontId="21" fillId="4" borderId="0" xfId="0" applyFont="1" applyFill="1" applyProtection="1"/>
    <xf numFmtId="0" fontId="3" fillId="4" borderId="0" xfId="0" applyFont="1" applyFill="1" applyBorder="1" applyAlignment="1" applyProtection="1">
      <alignment horizontal="center" vertical="center"/>
    </xf>
    <xf numFmtId="0" fontId="1" fillId="4" borderId="0" xfId="0" applyFont="1" applyFill="1" applyBorder="1" applyProtection="1"/>
    <xf numFmtId="0" fontId="18" fillId="4" borderId="0" xfId="0" applyFont="1" applyFill="1" applyBorder="1" applyAlignment="1" applyProtection="1">
      <alignment horizontal="center" vertical="center"/>
    </xf>
    <xf numFmtId="0" fontId="22" fillId="4" borderId="0" xfId="0" applyFont="1" applyFill="1" applyAlignment="1" applyProtection="1">
      <alignment horizontal="center" vertical="center"/>
      <protection locked="0"/>
    </xf>
    <xf numFmtId="0" fontId="24" fillId="3" borderId="2" xfId="0" applyFont="1" applyFill="1" applyBorder="1" applyAlignment="1" applyProtection="1">
      <alignment horizontal="center" vertical="center"/>
      <protection locked="0"/>
    </xf>
    <xf numFmtId="0" fontId="25" fillId="3" borderId="5" xfId="0" applyFont="1" applyFill="1" applyBorder="1" applyAlignment="1" applyProtection="1">
      <alignment horizontal="left" vertical="center"/>
      <protection locked="0"/>
    </xf>
    <xf numFmtId="0" fontId="26" fillId="3" borderId="6" xfId="0" applyFont="1" applyFill="1" applyBorder="1" applyAlignment="1" applyProtection="1">
      <alignment horizontal="center" vertical="top"/>
    </xf>
    <xf numFmtId="0" fontId="26" fillId="3" borderId="2" xfId="0" applyFont="1" applyFill="1" applyBorder="1" applyAlignment="1" applyProtection="1">
      <alignment horizontal="center" vertical="top"/>
      <protection locked="0"/>
    </xf>
    <xf numFmtId="0" fontId="27" fillId="3" borderId="5" xfId="0" applyFont="1" applyFill="1" applyBorder="1" applyAlignment="1" applyProtection="1">
      <alignment horizontal="left" vertical="center"/>
      <protection locked="0"/>
    </xf>
    <xf numFmtId="0" fontId="28" fillId="4" borderId="0" xfId="0" applyFont="1" applyFill="1" applyProtection="1"/>
    <xf numFmtId="0" fontId="27" fillId="4" borderId="0" xfId="0" applyFont="1" applyFill="1" applyBorder="1" applyAlignment="1" applyProtection="1">
      <alignment horizontal="center" vertical="center"/>
    </xf>
    <xf numFmtId="0" fontId="27" fillId="4" borderId="0" xfId="0" applyFont="1" applyFill="1" applyProtection="1"/>
    <xf numFmtId="0" fontId="27" fillId="4" borderId="0" xfId="0" applyFont="1" applyFill="1" applyAlignment="1" applyProtection="1">
      <alignment horizontal="center" vertical="center"/>
    </xf>
    <xf numFmtId="0" fontId="28" fillId="4" borderId="3" xfId="0" applyFont="1" applyFill="1" applyBorder="1" applyAlignment="1" applyProtection="1">
      <alignment horizontal="center"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3" fillId="4" borderId="0" xfId="0" applyFont="1" applyFill="1" applyAlignment="1" applyProtection="1">
      <alignment horizontal="center" vertical="center"/>
    </xf>
    <xf numFmtId="0" fontId="3" fillId="4" borderId="0" xfId="0" applyFont="1" applyFill="1" applyAlignment="1" applyProtection="1">
      <alignment horizontal="left" vertical="center"/>
    </xf>
    <xf numFmtId="0" fontId="1" fillId="4" borderId="0" xfId="0" applyFont="1" applyFill="1" applyProtection="1">
      <protection locked="0"/>
    </xf>
    <xf numFmtId="0" fontId="4" fillId="4" borderId="0" xfId="0" applyFont="1" applyFill="1" applyAlignment="1" applyProtection="1">
      <alignment horizontal="center" vertical="center"/>
    </xf>
    <xf numFmtId="49" fontId="28" fillId="4" borderId="1" xfId="0" applyNumberFormat="1" applyFont="1" applyFill="1" applyBorder="1" applyAlignment="1" applyProtection="1">
      <alignment horizontal="center" vertical="center"/>
      <protection locked="0"/>
    </xf>
    <xf numFmtId="49" fontId="29" fillId="4" borderId="1" xfId="0" applyNumberFormat="1" applyFont="1" applyFill="1" applyBorder="1" applyAlignment="1" applyProtection="1">
      <alignment horizontal="center" vertical="center"/>
      <protection locked="0"/>
    </xf>
    <xf numFmtId="49" fontId="24" fillId="3" borderId="2" xfId="0" applyNumberFormat="1" applyFont="1" applyFill="1" applyBorder="1" applyAlignment="1" applyProtection="1">
      <alignment horizontal="center" vertical="center"/>
      <protection locked="0"/>
    </xf>
    <xf numFmtId="49" fontId="24" fillId="3" borderId="10" xfId="0" applyNumberFormat="1" applyFont="1" applyFill="1" applyBorder="1" applyAlignment="1" applyProtection="1">
      <alignment horizontal="center" vertical="center"/>
      <protection locked="0"/>
    </xf>
    <xf numFmtId="49" fontId="23" fillId="3" borderId="2" xfId="0" applyNumberFormat="1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252E"/>
      <color rgb="FFFD9E13"/>
      <color rgb="FF00FF00"/>
      <color rgb="FFFF00FF"/>
      <color rgb="FF9E01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856577</xdr:colOff>
      <xdr:row>26</xdr:row>
      <xdr:rowOff>113851</xdr:rowOff>
    </xdr:from>
    <xdr:to>
      <xdr:col>6</xdr:col>
      <xdr:colOff>661258</xdr:colOff>
      <xdr:row>34</xdr:row>
      <xdr:rowOff>106231</xdr:rowOff>
    </xdr:to>
    <xdr:sp macro="[0]!FEC_CORP_COPY.CopyTextCellsToClipboard" textlink="">
      <xdr:nvSpPr>
        <xdr:cNvPr id="2" name="Rounded Rectangl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5132742" y="4667922"/>
          <a:ext cx="2789928" cy="1426733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  <a:scene3d>
          <a:camera prst="orthographicFront"/>
          <a:lightRig rig="flood" dir="t"/>
        </a:scene3d>
        <a:sp3d prstMaterial="metal">
          <a:bevelT/>
          <a:bevelB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accent1">
                  <a:lumMod val="60000"/>
                  <a:lumOff val="40000"/>
                </a:schemeClr>
              </a:solidFill>
            </a:rPr>
            <a:t>COPY BOTH</a:t>
          </a:r>
        </a:p>
        <a:p>
          <a:pPr algn="ctr"/>
          <a:r>
            <a:rPr lang="en-US" sz="2000" b="1">
              <a:solidFill>
                <a:schemeClr val="accent1">
                  <a:lumMod val="60000"/>
                  <a:lumOff val="40000"/>
                </a:schemeClr>
              </a:solidFill>
            </a:rPr>
            <a:t>FEC_Corporate +</a:t>
          </a:r>
        </a:p>
        <a:p>
          <a:pPr algn="ctr"/>
          <a:r>
            <a:rPr lang="en-US" sz="2000" b="1">
              <a:solidFill>
                <a:schemeClr val="accent1">
                  <a:lumMod val="60000"/>
                  <a:lumOff val="40000"/>
                </a:schemeClr>
              </a:solidFill>
            </a:rPr>
            <a:t>DebitCard_Data</a:t>
          </a:r>
        </a:p>
        <a:p>
          <a:pPr algn="ctr"/>
          <a:r>
            <a:rPr lang="en-US" sz="2000" b="1">
              <a:solidFill>
                <a:schemeClr val="accent1">
                  <a:lumMod val="60000"/>
                  <a:lumOff val="40000"/>
                </a:schemeClr>
              </a:solidFill>
            </a:rPr>
            <a:t>SQL TO</a:t>
          </a:r>
          <a:r>
            <a:rPr lang="en-US" sz="2000" b="1" baseline="0">
              <a:solidFill>
                <a:schemeClr val="accent1">
                  <a:lumMod val="60000"/>
                  <a:lumOff val="40000"/>
                </a:schemeClr>
              </a:solidFill>
            </a:rPr>
            <a:t> CLIPBOARD</a:t>
          </a:r>
        </a:p>
      </xdr:txBody>
    </xdr:sp>
    <xdr:clientData/>
  </xdr:twoCellAnchor>
  <xdr:twoCellAnchor>
    <xdr:from>
      <xdr:col>7</xdr:col>
      <xdr:colOff>52892</xdr:colOff>
      <xdr:row>25</xdr:row>
      <xdr:rowOff>135366</xdr:rowOff>
    </xdr:from>
    <xdr:to>
      <xdr:col>9</xdr:col>
      <xdr:colOff>0</xdr:colOff>
      <xdr:row>31</xdr:row>
      <xdr:rowOff>113403</xdr:rowOff>
    </xdr:to>
    <xdr:sp macro="[0]!Module2.CopyTextCellsToClipboard" textlink="">
      <xdr:nvSpPr>
        <xdr:cNvPr id="3" name="Rounded Rectangle 2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11814586" y="6697531"/>
          <a:ext cx="2932355" cy="1152413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  <a:scene3d>
          <a:camera prst="orthographicFront"/>
          <a:lightRig rig="flood" dir="t"/>
        </a:scene3d>
        <a:sp3d prstMaterial="metal">
          <a:bevelT/>
          <a:bevelB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accent1">
                  <a:lumMod val="60000"/>
                  <a:lumOff val="40000"/>
                </a:schemeClr>
              </a:solidFill>
            </a:rPr>
            <a:t>COPY</a:t>
          </a:r>
        </a:p>
        <a:p>
          <a:pPr algn="ctr"/>
          <a:r>
            <a:rPr lang="en-US" sz="2000" b="1">
              <a:solidFill>
                <a:schemeClr val="accent1">
                  <a:lumMod val="60000"/>
                  <a:lumOff val="40000"/>
                </a:schemeClr>
              </a:solidFill>
            </a:rPr>
            <a:t>FEC_Corporate</a:t>
          </a:r>
        </a:p>
        <a:p>
          <a:pPr algn="ctr"/>
          <a:r>
            <a:rPr lang="en-US" sz="2000" b="1">
              <a:solidFill>
                <a:schemeClr val="accent1">
                  <a:lumMod val="60000"/>
                  <a:lumOff val="40000"/>
                </a:schemeClr>
              </a:solidFill>
            </a:rPr>
            <a:t>SQL TO</a:t>
          </a:r>
          <a:r>
            <a:rPr lang="en-US" sz="2000" b="1" baseline="0">
              <a:solidFill>
                <a:schemeClr val="accent1">
                  <a:lumMod val="60000"/>
                  <a:lumOff val="40000"/>
                </a:schemeClr>
              </a:solidFill>
            </a:rPr>
            <a:t> CLIPBOARD</a:t>
          </a:r>
        </a:p>
      </xdr:txBody>
    </xdr:sp>
    <xdr:clientData/>
  </xdr:twoCellAnchor>
  <xdr:twoCellAnchor>
    <xdr:from>
      <xdr:col>7</xdr:col>
      <xdr:colOff>42133</xdr:colOff>
      <xdr:row>32</xdr:row>
      <xdr:rowOff>89647</xdr:rowOff>
    </xdr:from>
    <xdr:to>
      <xdr:col>8</xdr:col>
      <xdr:colOff>1335741</xdr:colOff>
      <xdr:row>38</xdr:row>
      <xdr:rowOff>89648</xdr:rowOff>
    </xdr:to>
    <xdr:sp macro="[0]!Module3.CopyTextCellsToClipboard" textlink="">
      <xdr:nvSpPr>
        <xdr:cNvPr id="4" name="Rounded Rectangle 3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11803827" y="8014447"/>
          <a:ext cx="2916220" cy="1129554"/>
        </a:xfrm>
        <a:prstGeom prst="roundRect">
          <a:avLst/>
        </a:prstGeom>
        <a:solidFill>
          <a:schemeClr val="bg1">
            <a:lumMod val="50000"/>
          </a:schemeClr>
        </a:solidFill>
        <a:scene3d>
          <a:camera prst="orthographicFront"/>
          <a:lightRig rig="flood" dir="t"/>
        </a:scene3d>
        <a:sp3d prstMaterial="metal">
          <a:bevelT/>
          <a:bevelB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accent1">
                  <a:lumMod val="60000"/>
                  <a:lumOff val="40000"/>
                </a:schemeClr>
              </a:solidFill>
            </a:rPr>
            <a:t>COPY DebitCard_Data</a:t>
          </a:r>
        </a:p>
        <a:p>
          <a:pPr algn="ctr"/>
          <a:r>
            <a:rPr lang="en-US" sz="2000" b="1">
              <a:solidFill>
                <a:schemeClr val="accent1">
                  <a:lumMod val="60000"/>
                  <a:lumOff val="40000"/>
                </a:schemeClr>
              </a:solidFill>
            </a:rPr>
            <a:t>SQL TO</a:t>
          </a:r>
          <a:r>
            <a:rPr lang="en-US" sz="2000" b="1" baseline="0">
              <a:solidFill>
                <a:schemeClr val="accent1">
                  <a:lumMod val="60000"/>
                  <a:lumOff val="40000"/>
                </a:schemeClr>
              </a:solidFill>
            </a:rPr>
            <a:t> CLIPBOARD</a:t>
          </a:r>
        </a:p>
      </xdr:txBody>
    </xdr:sp>
    <xdr:clientData/>
  </xdr:twoCellAnchor>
  <xdr:twoCellAnchor>
    <xdr:from>
      <xdr:col>7</xdr:col>
      <xdr:colOff>56479</xdr:colOff>
      <xdr:row>39</xdr:row>
      <xdr:rowOff>30927</xdr:rowOff>
    </xdr:from>
    <xdr:to>
      <xdr:col>8</xdr:col>
      <xdr:colOff>1335741</xdr:colOff>
      <xdr:row>45</xdr:row>
      <xdr:rowOff>34513</xdr:rowOff>
    </xdr:to>
    <xdr:sp macro="[0]!Module4.CopyTextCellsToClipboard" textlink="">
      <xdr:nvSpPr>
        <xdr:cNvPr id="5" name="Rounded Rectangle 4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11818173" y="9273539"/>
          <a:ext cx="2901874" cy="1133139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  <a:scene3d>
          <a:camera prst="orthographicFront"/>
          <a:lightRig rig="flood" dir="t"/>
        </a:scene3d>
        <a:sp3d prstMaterial="metal">
          <a:bevelT/>
          <a:bevelB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accent1">
                  <a:lumMod val="60000"/>
                  <a:lumOff val="40000"/>
                </a:schemeClr>
              </a:solidFill>
            </a:rPr>
            <a:t>COPY</a:t>
          </a:r>
        </a:p>
        <a:p>
          <a:pPr algn="ctr"/>
          <a:r>
            <a:rPr lang="en-US" sz="2000" b="1">
              <a:solidFill>
                <a:schemeClr val="accent1">
                  <a:lumMod val="60000"/>
                  <a:lumOff val="40000"/>
                </a:schemeClr>
              </a:solidFill>
            </a:rPr>
            <a:t>GA_Corp SQL</a:t>
          </a:r>
        </a:p>
        <a:p>
          <a:pPr algn="ctr"/>
          <a:r>
            <a:rPr lang="en-US" sz="2000" b="1" baseline="0">
              <a:solidFill>
                <a:schemeClr val="accent1">
                  <a:lumMod val="60000"/>
                  <a:lumOff val="40000"/>
                </a:schemeClr>
              </a:solidFill>
            </a:rPr>
            <a:t>TO CLIPBOARD</a:t>
          </a:r>
        </a:p>
      </xdr:txBody>
    </xdr:sp>
    <xdr:clientData/>
  </xdr:twoCellAnchor>
  <xdr:twoCellAnchor editAs="oneCell">
    <xdr:from>
      <xdr:col>2</xdr:col>
      <xdr:colOff>227256</xdr:colOff>
      <xdr:row>0</xdr:row>
      <xdr:rowOff>80682</xdr:rowOff>
    </xdr:from>
    <xdr:to>
      <xdr:col>8</xdr:col>
      <xdr:colOff>307938</xdr:colOff>
      <xdr:row>1</xdr:row>
      <xdr:rowOff>183089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68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97232" y="80682"/>
          <a:ext cx="10058400" cy="175191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380999</xdr:colOff>
      <xdr:row>10</xdr:row>
      <xdr:rowOff>200025</xdr:rowOff>
    </xdr:from>
    <xdr:to>
      <xdr:col>9</xdr:col>
      <xdr:colOff>466725</xdr:colOff>
      <xdr:row>13</xdr:row>
      <xdr:rowOff>135591</xdr:rowOff>
    </xdr:to>
    <xdr:sp macro="[0]!Module1.CopyTextCellsToClipboard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15DFF1B1-B13E-7189-7E0C-6B19ECC063C4}"/>
            </a:ext>
          </a:extLst>
        </xdr:cNvPr>
        <xdr:cNvSpPr/>
      </xdr:nvSpPr>
      <xdr:spPr>
        <a:xfrm>
          <a:off x="5676899" y="2152650"/>
          <a:ext cx="2181226" cy="735666"/>
        </a:xfrm>
        <a:prstGeom prst="roundRect">
          <a:avLst/>
        </a:prstGeom>
        <a:solidFill>
          <a:schemeClr val="bg1">
            <a:lumMod val="50000"/>
          </a:schemeClr>
        </a:solidFill>
        <a:effectLst>
          <a:innerShdw blurRad="63500" dir="16200000">
            <a:srgbClr val="00FF00">
              <a:alpha val="50000"/>
            </a:srgbClr>
          </a:innerShdw>
        </a:effectLst>
        <a:scene3d>
          <a:camera prst="orthographicFront"/>
          <a:lightRig rig="glow" dir="t"/>
        </a:scene3d>
        <a:sp3d prstMaterial="dkEdge">
          <a:bevelT/>
          <a:bevelB w="107950" h="107950" prst="angle"/>
          <a:extrusionClr>
            <a:srgbClr val="00FF00"/>
          </a:extrusion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rgbClr val="00FF00"/>
              </a:solidFill>
            </a:rPr>
            <a:t>COPY SQL TO CLIPBOARD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=""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G528"/>
  <sheetViews>
    <sheetView showGridLines="0" showRowColHeaders="0" tabSelected="1" defaultGridColor="0" colorId="23" zoomScale="85" zoomScaleNormal="85" workbookViewId="0">
      <selection activeCell="D15" sqref="D15"/>
    </sheetView>
  </sheetViews>
  <sheetFormatPr defaultRowHeight="13.8"/>
  <cols>
    <col min="1" max="1" width="35.69921875" style="2" customWidth="1"/>
    <col min="2" max="2" width="9.09765625" style="1" customWidth="1"/>
    <col min="3" max="3" width="21.69921875" style="1" customWidth="1"/>
    <col min="4" max="4" width="19.19921875" style="1" customWidth="1"/>
    <col min="5" max="5" width="21.8984375" style="1" customWidth="1"/>
    <col min="6" max="6" width="19.19921875" style="1" customWidth="1"/>
    <col min="7" max="7" width="27.796875" style="1" customWidth="1"/>
    <col min="8" max="8" width="21.296875" style="1" customWidth="1"/>
    <col min="9" max="9" width="17.8984375" style="1" customWidth="1"/>
    <col min="10" max="10" width="16.3984375" style="3" hidden="1" customWidth="1"/>
    <col min="11" max="11" width="13.8984375" style="3" hidden="1" customWidth="1"/>
    <col min="12" max="12" width="89.09765625" style="3" hidden="1" customWidth="1"/>
    <col min="13" max="13" width="12.296875" style="3" hidden="1" customWidth="1"/>
    <col min="14" max="14" width="67.19921875" style="3" hidden="1" customWidth="1"/>
    <col min="15" max="16" width="0" style="3" hidden="1" customWidth="1"/>
    <col min="17" max="18" width="13.59765625" style="3" hidden="1" customWidth="1"/>
    <col min="19" max="32" width="0" style="3" hidden="1" customWidth="1"/>
    <col min="33" max="75" width="0" style="6" hidden="1" customWidth="1"/>
    <col min="76" max="163" width="8.796875" style="6"/>
    <col min="164" max="16384" width="8.796875" style="2"/>
  </cols>
  <sheetData>
    <row r="1" spans="1:42" ht="130.19999999999999" customHeight="1">
      <c r="A1" s="6"/>
      <c r="B1" s="3"/>
      <c r="C1" s="3"/>
      <c r="D1" s="3"/>
      <c r="E1" s="3"/>
      <c r="F1" s="3"/>
      <c r="G1" s="3"/>
      <c r="H1" s="3"/>
      <c r="I1" s="3"/>
    </row>
    <row r="2" spans="1:42" ht="21.6" customHeight="1">
      <c r="A2" s="30" t="s">
        <v>120</v>
      </c>
      <c r="B2" s="3"/>
      <c r="C2" s="3"/>
      <c r="D2" s="3"/>
      <c r="E2" s="3"/>
      <c r="F2" s="3"/>
      <c r="G2" s="10"/>
      <c r="H2" s="3"/>
      <c r="I2" s="3"/>
    </row>
    <row r="3" spans="1:42" ht="22.8">
      <c r="A3" s="6"/>
      <c r="B3" s="3"/>
      <c r="C3" s="14" t="s">
        <v>88</v>
      </c>
      <c r="D3" s="15"/>
      <c r="E3" s="16" t="s">
        <v>4</v>
      </c>
      <c r="F3" s="16" t="s">
        <v>1</v>
      </c>
      <c r="G3" s="14" t="s">
        <v>91</v>
      </c>
      <c r="H3" s="9"/>
      <c r="I3" s="9"/>
      <c r="Q3" s="11">
        <v>300</v>
      </c>
    </row>
    <row r="4" spans="1:42" ht="22.8">
      <c r="A4" s="6"/>
      <c r="B4" s="25"/>
      <c r="C4" s="36" t="s">
        <v>122</v>
      </c>
      <c r="D4" s="37"/>
      <c r="E4" s="38">
        <v>55</v>
      </c>
      <c r="F4" s="38">
        <v>6686</v>
      </c>
      <c r="G4" s="39" t="s">
        <v>89</v>
      </c>
      <c r="H4" s="26"/>
      <c r="I4" s="12"/>
    </row>
    <row r="5" spans="1:42" ht="17.399999999999999">
      <c r="A5" s="6"/>
      <c r="B5" s="25"/>
      <c r="C5" s="25"/>
      <c r="D5" s="25"/>
      <c r="E5" s="25"/>
      <c r="F5" s="25"/>
      <c r="G5" s="25"/>
      <c r="H5" s="25"/>
      <c r="I5" s="3"/>
      <c r="M5" s="8" t="s">
        <v>5</v>
      </c>
    </row>
    <row r="6" spans="1:42">
      <c r="A6" s="6"/>
      <c r="B6" s="25"/>
      <c r="C6" s="25"/>
      <c r="D6" s="25"/>
      <c r="E6" s="25"/>
      <c r="F6" s="25"/>
      <c r="G6" s="25"/>
      <c r="H6" s="25"/>
      <c r="I6" s="3"/>
    </row>
    <row r="7" spans="1:42" ht="13.95" customHeight="1">
      <c r="A7" s="6"/>
      <c r="B7" s="40"/>
      <c r="C7" s="41" t="s">
        <v>31</v>
      </c>
      <c r="D7" s="52" t="s">
        <v>86</v>
      </c>
      <c r="E7" s="41" t="s">
        <v>32</v>
      </c>
      <c r="F7" s="52" t="s">
        <v>77</v>
      </c>
      <c r="G7" s="40"/>
      <c r="H7" s="25"/>
      <c r="I7" s="3"/>
      <c r="Q7" s="3" t="s">
        <v>51</v>
      </c>
      <c r="R7" s="3" t="s">
        <v>52</v>
      </c>
      <c r="S7" s="3" t="s">
        <v>53</v>
      </c>
      <c r="T7" s="3" t="s">
        <v>50</v>
      </c>
      <c r="U7" s="3" t="s">
        <v>54</v>
      </c>
      <c r="V7" s="3" t="s">
        <v>55</v>
      </c>
      <c r="W7" s="3" t="s">
        <v>56</v>
      </c>
      <c r="X7" s="3" t="s">
        <v>57</v>
      </c>
      <c r="Y7" s="3" t="s">
        <v>58</v>
      </c>
      <c r="Z7" s="3" t="s">
        <v>59</v>
      </c>
      <c r="AA7" s="3" t="s">
        <v>60</v>
      </c>
      <c r="AB7" s="3" t="s">
        <v>61</v>
      </c>
      <c r="AC7" s="3" t="s">
        <v>62</v>
      </c>
      <c r="AD7" s="3" t="s">
        <v>63</v>
      </c>
      <c r="AE7" s="3" t="s">
        <v>64</v>
      </c>
      <c r="AF7" s="3" t="s">
        <v>65</v>
      </c>
      <c r="AG7" s="3" t="s">
        <v>66</v>
      </c>
      <c r="AH7" s="3" t="s">
        <v>67</v>
      </c>
      <c r="AI7" s="3" t="s">
        <v>68</v>
      </c>
      <c r="AJ7" s="3" t="s">
        <v>69</v>
      </c>
      <c r="AK7" s="3" t="s">
        <v>70</v>
      </c>
      <c r="AL7" s="3" t="s">
        <v>71</v>
      </c>
      <c r="AM7" s="3" t="s">
        <v>72</v>
      </c>
      <c r="AN7" s="3" t="s">
        <v>73</v>
      </c>
      <c r="AO7" s="3" t="s">
        <v>74</v>
      </c>
      <c r="AP7" s="49" t="s">
        <v>3</v>
      </c>
    </row>
    <row r="8" spans="1:42" ht="13.95" customHeight="1">
      <c r="A8" s="6"/>
      <c r="B8" s="40"/>
      <c r="C8" s="42"/>
      <c r="D8" s="40"/>
      <c r="E8" s="42"/>
      <c r="F8" s="40"/>
      <c r="G8" s="40"/>
      <c r="H8" s="25"/>
      <c r="I8" s="3"/>
      <c r="Q8" s="13" t="str">
        <f>UPPER(SUBSTITUTE(SUBSTITUTE(SUBSTITUTE(D7, ":", ""), "-","")," ",""))</f>
        <v>300ED5369CB6</v>
      </c>
      <c r="R8" s="3" t="str">
        <f>UPPER(SUBSTITUTE(SUBSTITUTE(SUBSTITUTE(F7, ":", ""), "-","")," ",""))</f>
        <v>300ED53A8823</v>
      </c>
      <c r="S8" s="3" t="str">
        <f>UPPER(SUBSTITUTE(SUBSTITUTE(SUBSTITUTE(D9, ":", ""), "-","")," ",""))</f>
        <v>EMAIL1234567</v>
      </c>
      <c r="T8" s="3" t="str">
        <f>UPPER(SUBSTITUTE(SUBSTITUTE(SUBSTITUTE(F9, ":", ""), "-","")," ",""))</f>
        <v>GAPROXY12345</v>
      </c>
      <c r="U8" s="3" t="str">
        <f>UPPER(SUBSTITUTE(SUBSTITUTE(SUBSTITUTE(D12, ":", ""), "-","")," ",""))</f>
        <v>843A5B902652</v>
      </c>
      <c r="V8" s="3" t="str">
        <f>UPPER(SUBSTITUTE(SUBSTITUTE(SUBSTITUTE(D13, ":", ""), "-","")," ",""))</f>
        <v>843A5B905674</v>
      </c>
      <c r="W8" s="3" t="str">
        <f>UPPER(SUBSTITUTE(SUBSTITUTE(SUBSTITUTE(D14, ":", ""), "-","")," ",""))</f>
        <v>843A5B9046E6</v>
      </c>
      <c r="X8" s="3" t="str">
        <f>UPPER(SUBSTITUTE(SUBSTITUTE(SUBSTITUTE(D15, ":", ""), "-","")," ",""))</f>
        <v/>
      </c>
      <c r="Y8" s="3" t="str">
        <f>UPPER(SUBSTITUTE(SUBSTITUTE(SUBSTITUTE(D16, ":", ""), "-","")," ",""))</f>
        <v/>
      </c>
      <c r="Z8" s="3" t="str">
        <f>UPPER(SUBSTITUTE(SUBSTITUTE(SUBSTITUTE(D17, ":", ""), "-","")," ",""))</f>
        <v/>
      </c>
      <c r="AA8" s="3" t="str">
        <f>UPPER(SUBSTITUTE(SUBSTITUTE(SUBSTITUTE(D18, ":", ""), "-","")," ",""))</f>
        <v/>
      </c>
      <c r="AB8" s="3" t="str">
        <f>UPPER(SUBSTITUTE(SUBSTITUTE(SUBSTITUTE(D19, ":", ""), "-","")," ",""))</f>
        <v/>
      </c>
      <c r="AC8" s="3" t="str">
        <f>UPPER(SUBSTITUTE(SUBSTITUTE(SUBSTITUTE(F12, ":", ""), "-","")," ",""))</f>
        <v>0040B38CC29D</v>
      </c>
      <c r="AD8" s="3" t="str">
        <f>UPPER(SUBSTITUTE(SUBSTITUTE(SUBSTITUTE(F13, ":", ""), "-","")," ",""))</f>
        <v>0040B38C0B3E</v>
      </c>
      <c r="AE8" s="3" t="str">
        <f>UPPER(SUBSTITUTE(SUBSTITUTE(SUBSTITUTE(F14, ":", ""), "-","")," ",""))</f>
        <v/>
      </c>
      <c r="AF8" s="3" t="str">
        <f>UPPER(SUBSTITUTE(SUBSTITUTE(SUBSTITUTE(F15, ":", ""), "-","")," ",""))</f>
        <v/>
      </c>
      <c r="AG8" s="3" t="str">
        <f>UPPER(SUBSTITUTE(SUBSTITUTE(SUBSTITUTE(F16, ":", ""), "-","")," ",""))</f>
        <v/>
      </c>
      <c r="AH8" s="3" t="str">
        <f>UPPER(SUBSTITUTE(SUBSTITUTE(SUBSTITUTE(F17, ":", ""), "-","")," ",""))</f>
        <v/>
      </c>
      <c r="AI8" s="3" t="str">
        <f>UPPER(SUBSTITUTE(SUBSTITUTE(SUBSTITUTE(F18, ":", ""), "-","")," ",""))</f>
        <v/>
      </c>
      <c r="AJ8" s="3" t="str">
        <f>UPPER(SUBSTITUTE(SUBSTITUTE(SUBSTITUTE(F19, ":", ""), "-","")," ",""))</f>
        <v/>
      </c>
      <c r="AK8" s="3" t="str">
        <f>UPPER(SUBSTITUTE(SUBSTITUTE(SUBSTITUTE(I13, ":", ""), "-","")," ",""))</f>
        <v>300ED52924AA</v>
      </c>
      <c r="AL8" s="3" t="str">
        <f>UPPER(SUBSTITUTE(SUBSTITUTE(SUBSTITUTE(I14, ":", ""), "-","")," ",""))</f>
        <v>300ED52924BC</v>
      </c>
      <c r="AM8" s="3" t="str">
        <f>UPPER(SUBSTITUTE(SUBSTITUTE(SUBSTITUTE(I16, ":", ""), "-","")," ",""))</f>
        <v/>
      </c>
      <c r="AN8" s="3" t="str">
        <f>UPPER(SUBSTITUTE(SUBSTITUTE(SUBSTITUTE(I17, ":", ""), "-","")," ",""))</f>
        <v/>
      </c>
      <c r="AO8" s="3" t="str">
        <f>UPPER(SUBSTITUTE(SUBSTITUTE(SUBSTITUTE(I18, ":", ""), "-","")," ",""))</f>
        <v/>
      </c>
      <c r="AP8" s="13" t="str">
        <f>UPPER(SUBSTITUTE(SUBSTITUTE(SUBSTITUTE(D27, ":", ""), "-","")," ",""))</f>
        <v>300ED535F598</v>
      </c>
    </row>
    <row r="9" spans="1:42" ht="13.95" customHeight="1">
      <c r="A9" s="6"/>
      <c r="B9" s="40"/>
      <c r="C9" s="43" t="s">
        <v>49</v>
      </c>
      <c r="D9" s="35" t="s">
        <v>92</v>
      </c>
      <c r="E9" s="43" t="s">
        <v>50</v>
      </c>
      <c r="F9" s="35" t="s">
        <v>93</v>
      </c>
      <c r="G9" s="40"/>
      <c r="H9" s="25"/>
      <c r="I9" s="3"/>
      <c r="AP9" s="13" t="str">
        <f t="shared" ref="AP9:AP40" si="0">UPPER(SUBSTITUTE(SUBSTITUTE(D28, ":", ""), "-",""))</f>
        <v>300ED53BCAFC</v>
      </c>
    </row>
    <row r="10" spans="1:42" ht="13.8" customHeight="1">
      <c r="A10" s="6"/>
      <c r="B10" s="3"/>
      <c r="C10" s="17" t="s">
        <v>76</v>
      </c>
      <c r="D10" s="18"/>
      <c r="E10" s="17" t="s">
        <v>76</v>
      </c>
      <c r="F10" s="5"/>
      <c r="G10" s="3"/>
      <c r="H10" s="3"/>
      <c r="I10" s="3"/>
      <c r="AP10" s="13" t="str">
        <f t="shared" si="0"/>
        <v>300ED5369CB6</v>
      </c>
    </row>
    <row r="11" spans="1:42" ht="27" customHeight="1">
      <c r="A11" s="6"/>
      <c r="B11" s="3"/>
      <c r="C11" s="27"/>
      <c r="D11" s="28"/>
      <c r="E11" s="27"/>
      <c r="F11" s="28"/>
      <c r="G11" s="28"/>
      <c r="H11" s="22" t="s">
        <v>121</v>
      </c>
      <c r="I11" s="23"/>
      <c r="M11" s="3" t="s">
        <v>90</v>
      </c>
      <c r="AP11" s="13" t="str">
        <f t="shared" si="0"/>
        <v>300ED53A8834</v>
      </c>
    </row>
    <row r="12" spans="1:42" ht="13.95" customHeight="1">
      <c r="A12" s="6"/>
      <c r="B12" s="3"/>
      <c r="C12" s="34" t="s">
        <v>37</v>
      </c>
      <c r="D12" s="54" t="s">
        <v>78</v>
      </c>
      <c r="E12" s="34" t="s">
        <v>33</v>
      </c>
      <c r="F12" s="54" t="s">
        <v>81</v>
      </c>
      <c r="G12" s="29"/>
      <c r="H12" s="24" t="s">
        <v>2</v>
      </c>
      <c r="I12" s="24" t="s">
        <v>3</v>
      </c>
      <c r="M12" s="3" t="str">
        <f>IF(COUNTA(C4,F4,G4,F9)=4,"INSERT INTO dbo.GA_Corp ([CorpID],[Name],[Description],[DataCenter],[CanConnect],[ProxyMAC],[QRRedirectPath],[TokenExpireSeconds]) VALUES('" &amp; $F$4 &amp;"','" &amp; $C$4 &amp; "','" &amp; $C$4 &amp; "','https://" &amp; $G$4&amp; "/','True','" &amp; $T$8&amp; "','fjhfjhgfjhgf','60')","")</f>
        <v>INSERT INTO dbo.GA_Corp ([CorpID],[Name],[Description],[DataCenter],[CanConnect],[ProxyMAC],[QRRedirectPath],[TokenExpireSeconds]) VALUES('6686','Roseville Mall','Roseville Mall','https://round1.intercardinc.com/','True','GAPROXY12345','fjhfjhgfjhgf','60')</v>
      </c>
      <c r="AP12" s="13" t="str">
        <f t="shared" si="0"/>
        <v>300ED53A8833</v>
      </c>
    </row>
    <row r="13" spans="1:42" ht="13.95" customHeight="1">
      <c r="A13" s="6"/>
      <c r="B13" s="3"/>
      <c r="C13" s="34" t="s">
        <v>38</v>
      </c>
      <c r="D13" s="54" t="s">
        <v>79</v>
      </c>
      <c r="E13" s="34" t="s">
        <v>34</v>
      </c>
      <c r="F13" s="54" t="s">
        <v>82</v>
      </c>
      <c r="G13" s="29"/>
      <c r="H13" s="35" t="s">
        <v>83</v>
      </c>
      <c r="I13" s="52" t="s">
        <v>84</v>
      </c>
      <c r="AP13" s="13" t="str">
        <f t="shared" si="0"/>
        <v>300ED53A085A</v>
      </c>
    </row>
    <row r="14" spans="1:42" ht="13.95" customHeight="1">
      <c r="A14" s="6"/>
      <c r="B14" s="3"/>
      <c r="C14" s="34" t="s">
        <v>39</v>
      </c>
      <c r="D14" s="54" t="s">
        <v>80</v>
      </c>
      <c r="E14" s="34" t="s">
        <v>35</v>
      </c>
      <c r="F14" s="54"/>
      <c r="G14" s="29"/>
      <c r="H14" s="35" t="s">
        <v>123</v>
      </c>
      <c r="I14" s="52" t="s">
        <v>124</v>
      </c>
      <c r="AP14" s="13" t="str">
        <f t="shared" si="0"/>
        <v>300ED53A8823</v>
      </c>
    </row>
    <row r="15" spans="1:42" ht="13.95" customHeight="1">
      <c r="A15" s="6"/>
      <c r="B15" s="3"/>
      <c r="C15" s="34" t="s">
        <v>40</v>
      </c>
      <c r="D15" s="54"/>
      <c r="E15" s="34" t="s">
        <v>36</v>
      </c>
      <c r="F15" s="54"/>
      <c r="G15" s="29"/>
      <c r="H15" s="35"/>
      <c r="I15" s="52"/>
      <c r="AP15" s="13" t="str">
        <f t="shared" si="0"/>
        <v>300ED53A889B</v>
      </c>
    </row>
    <row r="16" spans="1:42" ht="13.95" customHeight="1">
      <c r="A16" s="6"/>
      <c r="B16" s="3"/>
      <c r="C16" s="34" t="s">
        <v>41</v>
      </c>
      <c r="D16" s="54"/>
      <c r="E16" s="34" t="s">
        <v>45</v>
      </c>
      <c r="F16" s="54"/>
      <c r="G16" s="29"/>
      <c r="H16" s="35"/>
      <c r="I16" s="52"/>
      <c r="AP16" s="13" t="str">
        <f t="shared" si="0"/>
        <v>300ED53A8960</v>
      </c>
    </row>
    <row r="17" spans="1:42" ht="13.95" customHeight="1">
      <c r="A17" s="6"/>
      <c r="B17" s="3"/>
      <c r="C17" s="34" t="s">
        <v>42</v>
      </c>
      <c r="D17" s="54"/>
      <c r="E17" s="34" t="s">
        <v>46</v>
      </c>
      <c r="F17" s="54"/>
      <c r="G17" s="29"/>
      <c r="H17" s="35"/>
      <c r="I17" s="52"/>
      <c r="AP17" s="13" t="str">
        <f t="shared" si="0"/>
        <v>300ED53A87FD</v>
      </c>
    </row>
    <row r="18" spans="1:42" ht="13.95" customHeight="1">
      <c r="A18" s="6"/>
      <c r="B18" s="3"/>
      <c r="C18" s="34" t="s">
        <v>43</v>
      </c>
      <c r="D18" s="54"/>
      <c r="E18" s="34" t="s">
        <v>47</v>
      </c>
      <c r="F18" s="54"/>
      <c r="G18" s="28"/>
      <c r="H18" s="35"/>
      <c r="I18" s="52"/>
      <c r="AP18" s="13" t="str">
        <f t="shared" si="0"/>
        <v>300ED53A0316</v>
      </c>
    </row>
    <row r="19" spans="1:42" ht="13.95" customHeight="1">
      <c r="A19" s="6"/>
      <c r="B19" s="3"/>
      <c r="C19" s="34" t="s">
        <v>44</v>
      </c>
      <c r="D19" s="54"/>
      <c r="E19" s="34" t="s">
        <v>48</v>
      </c>
      <c r="F19" s="54"/>
      <c r="G19" s="28"/>
      <c r="H19" s="5"/>
      <c r="I19" s="5"/>
      <c r="AP19" s="13" t="str">
        <f t="shared" si="0"/>
        <v>300ED53A8835</v>
      </c>
    </row>
    <row r="20" spans="1:42" ht="13.95" customHeight="1">
      <c r="A20" s="6"/>
      <c r="B20" s="3"/>
      <c r="C20" s="28"/>
      <c r="D20" s="28"/>
      <c r="E20" s="28"/>
      <c r="F20" s="28"/>
      <c r="G20" s="28"/>
      <c r="H20" s="3"/>
      <c r="I20" s="3"/>
      <c r="AP20" s="13" t="str">
        <f t="shared" si="0"/>
        <v>300ED53A895C</v>
      </c>
    </row>
    <row r="21" spans="1:42" ht="13.95" customHeight="1">
      <c r="A21" s="6"/>
      <c r="B21" s="3"/>
      <c r="C21" s="28"/>
      <c r="D21" s="28"/>
      <c r="E21" s="28"/>
      <c r="F21" s="28"/>
      <c r="G21" s="29"/>
      <c r="H21" s="3"/>
      <c r="I21" s="3"/>
      <c r="AP21" s="13" t="str">
        <f t="shared" si="0"/>
        <v>300ED53A8959</v>
      </c>
    </row>
    <row r="22" spans="1:42" ht="13.95" customHeight="1">
      <c r="A22" s="6"/>
      <c r="B22" s="3"/>
      <c r="C22" s="28"/>
      <c r="D22" s="28"/>
      <c r="E22" s="28"/>
      <c r="F22" s="28"/>
      <c r="G22" s="29"/>
      <c r="H22" s="3"/>
      <c r="I22" s="3"/>
      <c r="AP22" s="13" t="str">
        <f t="shared" si="0"/>
        <v>300ED53A88D9</v>
      </c>
    </row>
    <row r="23" spans="1:42" ht="13.95" customHeight="1">
      <c r="A23" s="6"/>
      <c r="B23" s="3"/>
      <c r="C23" s="3"/>
      <c r="D23" s="3"/>
      <c r="E23" s="3"/>
      <c r="F23" s="3"/>
      <c r="G23" s="4"/>
      <c r="H23" s="3"/>
      <c r="I23" s="3"/>
      <c r="AP23" s="13" t="str">
        <f t="shared" si="0"/>
        <v>300ED53A8870</v>
      </c>
    </row>
    <row r="24" spans="1:42">
      <c r="A24" s="6"/>
      <c r="B24" s="3"/>
      <c r="C24" s="15"/>
      <c r="D24" s="15"/>
      <c r="E24" s="15"/>
      <c r="F24" s="19"/>
      <c r="G24" s="15"/>
      <c r="H24" s="15"/>
      <c r="I24" s="15"/>
      <c r="M24" s="3" t="s">
        <v>0</v>
      </c>
      <c r="AP24" s="13" t="str">
        <f t="shared" si="0"/>
        <v>300ED535BCC0</v>
      </c>
    </row>
    <row r="25" spans="1:42" ht="21" customHeight="1">
      <c r="A25" s="6"/>
      <c r="B25" s="3"/>
      <c r="C25" s="20" t="s">
        <v>85</v>
      </c>
      <c r="D25" s="15"/>
      <c r="E25" s="15"/>
      <c r="F25" s="19" t="s">
        <v>75</v>
      </c>
      <c r="G25" s="15"/>
      <c r="H25" s="15" t="s">
        <v>94</v>
      </c>
      <c r="I25" s="15"/>
      <c r="M25" s="3" t="str">
        <f t="shared" ref="M25:M56" si="1">IF(AP8&lt;&gt;"","UPDATE dbo.CR_MAC SET [CorpID] = '" &amp; $F$4 &amp; "', [Description] = '" &amp; C27 &amp;"' WHERE MAC = '" &amp; AP8 &amp; "' IF @@ROWCOUNT = 0 Insert Into dbo.CR_MAC ([CorpID], [MAC], [Description]) Values ('" &amp; $F$4 &amp; "', '" &amp; AP8 &amp; "', '" &amp; C27 &amp; "')","")</f>
        <v>UPDATE dbo.CR_MAC SET [CorpID] = '6686', [Description] = 'VCB001' WHERE MAC = '300ED535F598' IF @@ROWCOUNT = 0 Insert Into dbo.CR_MAC ([CorpID], [MAC], [Description]) Values ('6686', '300ED535F598', 'VCB001')</v>
      </c>
      <c r="AP25" s="13" t="str">
        <f t="shared" si="0"/>
        <v/>
      </c>
    </row>
    <row r="26" spans="1:42" ht="18.600000000000001" customHeight="1">
      <c r="A26" s="6"/>
      <c r="B26" s="3"/>
      <c r="C26" s="21" t="s">
        <v>2</v>
      </c>
      <c r="D26" s="21" t="s">
        <v>3</v>
      </c>
      <c r="E26" s="19"/>
      <c r="F26" s="19" t="s">
        <v>87</v>
      </c>
      <c r="G26" s="15"/>
      <c r="H26" s="15"/>
      <c r="I26" s="15"/>
      <c r="M26" s="3" t="str">
        <f t="shared" si="1"/>
        <v>UPDATE dbo.CR_MAC SET [CorpID] = '6686', [Description] = 'VCB002' WHERE MAC = '300ED53BCAFC' IF @@ROWCOUNT = 0 Insert Into dbo.CR_MAC ([CorpID], [MAC], [Description]) Values ('6686', '300ED53BCAFC', 'VCB002')</v>
      </c>
      <c r="AP26" s="13" t="str">
        <f t="shared" si="0"/>
        <v/>
      </c>
    </row>
    <row r="27" spans="1:42" ht="15">
      <c r="A27" s="6"/>
      <c r="B27" s="3"/>
      <c r="C27" s="44" t="s">
        <v>141</v>
      </c>
      <c r="D27" s="52" t="s">
        <v>125</v>
      </c>
      <c r="E27" s="4"/>
      <c r="F27" s="3"/>
      <c r="G27" s="3"/>
      <c r="H27" s="3"/>
      <c r="I27" s="3"/>
      <c r="M27" s="3" t="str">
        <f t="shared" si="1"/>
        <v>UPDATE dbo.CR_MAC SET [CorpID] = '6686', [Description] = 'VCB003' WHERE MAC = '300ED5369CB6' IF @@ROWCOUNT = 0 Insert Into dbo.CR_MAC ([CorpID], [MAC], [Description]) Values ('6686', '300ED5369CB6', 'VCB003')</v>
      </c>
      <c r="AP27" s="13" t="str">
        <f t="shared" si="0"/>
        <v/>
      </c>
    </row>
    <row r="28" spans="1:42" ht="15">
      <c r="A28" s="6"/>
      <c r="B28" s="3"/>
      <c r="C28" s="44" t="s">
        <v>142</v>
      </c>
      <c r="D28" s="52" t="s">
        <v>126</v>
      </c>
      <c r="E28" s="3"/>
      <c r="F28" s="4"/>
      <c r="G28" s="3"/>
      <c r="H28" s="4"/>
      <c r="I28" s="3"/>
      <c r="M28" s="3" t="str">
        <f t="shared" si="1"/>
        <v>UPDATE dbo.CR_MAC SET [CorpID] = '6686', [Description] = 'VCC502' WHERE MAC = '300ED53A8834' IF @@ROWCOUNT = 0 Insert Into dbo.CR_MAC ([CorpID], [MAC], [Description]) Values ('6686', '300ED53A8834', 'VCC502')</v>
      </c>
      <c r="AP28" s="13" t="str">
        <f t="shared" si="0"/>
        <v/>
      </c>
    </row>
    <row r="29" spans="1:42" ht="15">
      <c r="A29" s="6"/>
      <c r="B29" s="3"/>
      <c r="C29" s="44" t="s">
        <v>143</v>
      </c>
      <c r="D29" s="52" t="s">
        <v>127</v>
      </c>
      <c r="E29" s="3"/>
      <c r="F29" s="4"/>
      <c r="G29" s="3"/>
      <c r="H29" s="4"/>
      <c r="I29" s="3"/>
      <c r="M29" s="3" t="str">
        <f t="shared" si="1"/>
        <v>UPDATE dbo.CR_MAC SET [CorpID] = '6686', [Description] = 'VCC503' WHERE MAC = '300ED53A8833' IF @@ROWCOUNT = 0 Insert Into dbo.CR_MAC ([CorpID], [MAC], [Description]) Values ('6686', '300ED53A8833', 'VCC503')</v>
      </c>
      <c r="AP29" s="13" t="str">
        <f t="shared" si="0"/>
        <v/>
      </c>
    </row>
    <row r="30" spans="1:42" ht="15">
      <c r="A30" s="6"/>
      <c r="B30" s="3"/>
      <c r="C30" s="44" t="s">
        <v>144</v>
      </c>
      <c r="D30" s="52" t="s">
        <v>128</v>
      </c>
      <c r="E30" s="3"/>
      <c r="F30" s="4"/>
      <c r="G30" s="4"/>
      <c r="H30" s="4"/>
      <c r="I30" s="3"/>
      <c r="M30" s="3" t="str">
        <f t="shared" si="1"/>
        <v>UPDATE dbo.CR_MAC SET [CorpID] = '6686', [Description] = 'VCC504' WHERE MAC = '300ED53A085A' IF @@ROWCOUNT = 0 Insert Into dbo.CR_MAC ([CorpID], [MAC], [Description]) Values ('6686', '300ED53A085A', 'VCC504')</v>
      </c>
      <c r="AP30" s="13" t="str">
        <f t="shared" si="0"/>
        <v/>
      </c>
    </row>
    <row r="31" spans="1:42" ht="15">
      <c r="A31" s="6"/>
      <c r="B31" s="3"/>
      <c r="C31" s="44" t="s">
        <v>145</v>
      </c>
      <c r="D31" s="52" t="s">
        <v>129</v>
      </c>
      <c r="E31" s="3"/>
      <c r="F31" s="4"/>
      <c r="G31" s="4"/>
      <c r="H31" s="4"/>
      <c r="I31" s="3"/>
      <c r="M31" s="3" t="str">
        <f t="shared" si="1"/>
        <v>UPDATE dbo.CR_MAC SET [CorpID] = '6686', [Description] = 'VCC505' WHERE MAC = '300ED53A8823' IF @@ROWCOUNT = 0 Insert Into dbo.CR_MAC ([CorpID], [MAC], [Description]) Values ('6686', '300ED53A8823', 'VCC505')</v>
      </c>
      <c r="AP31" s="13" t="str">
        <f t="shared" si="0"/>
        <v/>
      </c>
    </row>
    <row r="32" spans="1:42" ht="15">
      <c r="A32" s="6"/>
      <c r="B32" s="3"/>
      <c r="C32" s="44" t="s">
        <v>146</v>
      </c>
      <c r="D32" s="52" t="s">
        <v>130</v>
      </c>
      <c r="E32" s="3"/>
      <c r="F32" s="4"/>
      <c r="G32" s="4"/>
      <c r="H32" s="4"/>
      <c r="I32" s="3"/>
      <c r="M32" s="3" t="str">
        <f t="shared" si="1"/>
        <v>UPDATE dbo.CR_MAC SET [CorpID] = '6686', [Description] = 'VCC506' WHERE MAC = '300ED53A889B' IF @@ROWCOUNT = 0 Insert Into dbo.CR_MAC ([CorpID], [MAC], [Description]) Values ('6686', '300ED53A889B', 'VCC506')</v>
      </c>
      <c r="AP32" s="13" t="str">
        <f t="shared" si="0"/>
        <v/>
      </c>
    </row>
    <row r="33" spans="1:42" ht="15">
      <c r="A33" s="6"/>
      <c r="B33" s="3"/>
      <c r="C33" s="44" t="s">
        <v>147</v>
      </c>
      <c r="D33" s="52" t="s">
        <v>77</v>
      </c>
      <c r="E33" s="3"/>
      <c r="F33" s="4"/>
      <c r="G33" s="4"/>
      <c r="H33" s="4"/>
      <c r="I33" s="3"/>
      <c r="M33" s="3" t="str">
        <f t="shared" si="1"/>
        <v>UPDATE dbo.CR_MAC SET [CorpID] = '6686', [Description] = 'VCC507' WHERE MAC = '300ED53A8960' IF @@ROWCOUNT = 0 Insert Into dbo.CR_MAC ([CorpID], [MAC], [Description]) Values ('6686', '300ED53A8960', 'VCC507')</v>
      </c>
      <c r="AP33" s="13" t="str">
        <f t="shared" si="0"/>
        <v/>
      </c>
    </row>
    <row r="34" spans="1:42" ht="15">
      <c r="A34" s="6"/>
      <c r="B34" s="3"/>
      <c r="C34" s="44" t="s">
        <v>148</v>
      </c>
      <c r="D34" s="52" t="s">
        <v>131</v>
      </c>
      <c r="E34" s="3"/>
      <c r="F34" s="4"/>
      <c r="G34" s="4"/>
      <c r="H34" s="4"/>
      <c r="I34" s="3"/>
      <c r="M34" s="3" t="str">
        <f t="shared" si="1"/>
        <v>UPDATE dbo.CR_MAC SET [CorpID] = '6686', [Description] = 'VCC508' WHERE MAC = '300ED53A87FD' IF @@ROWCOUNT = 0 Insert Into dbo.CR_MAC ([CorpID], [MAC], [Description]) Values ('6686', '300ED53A87FD', 'VCC508')</v>
      </c>
      <c r="AP34" s="13" t="str">
        <f t="shared" si="0"/>
        <v/>
      </c>
    </row>
    <row r="35" spans="1:42" ht="15">
      <c r="A35" s="6"/>
      <c r="B35" s="3"/>
      <c r="C35" s="44" t="s">
        <v>149</v>
      </c>
      <c r="D35" s="52" t="s">
        <v>132</v>
      </c>
      <c r="E35" s="3"/>
      <c r="F35" s="4"/>
      <c r="G35" s="4"/>
      <c r="H35" s="4"/>
      <c r="I35" s="3"/>
      <c r="M35" s="3" t="str">
        <f t="shared" si="1"/>
        <v>UPDATE dbo.CR_MAC SET [CorpID] = '6686', [Description] = 'VCC509' WHERE MAC = '300ED53A0316' IF @@ROWCOUNT = 0 Insert Into dbo.CR_MAC ([CorpID], [MAC], [Description]) Values ('6686', '300ED53A0316', 'VCC509')</v>
      </c>
      <c r="AP35" s="13" t="str">
        <f t="shared" si="0"/>
        <v/>
      </c>
    </row>
    <row r="36" spans="1:42" ht="15">
      <c r="A36" s="6"/>
      <c r="B36" s="3"/>
      <c r="C36" s="44" t="s">
        <v>150</v>
      </c>
      <c r="D36" s="52" t="s">
        <v>133</v>
      </c>
      <c r="E36" s="3"/>
      <c r="F36" s="4"/>
      <c r="G36" s="4"/>
      <c r="H36" s="4"/>
      <c r="I36" s="3"/>
      <c r="M36" s="3" t="str">
        <f t="shared" si="1"/>
        <v>UPDATE dbo.CR_MAC SET [CorpID] = '6686', [Description] = 'VCC510' WHERE MAC = '300ED53A8835' IF @@ROWCOUNT = 0 Insert Into dbo.CR_MAC ([CorpID], [MAC], [Description]) Values ('6686', '300ED53A8835', 'VCC510')</v>
      </c>
      <c r="AP36" s="13" t="str">
        <f t="shared" si="0"/>
        <v/>
      </c>
    </row>
    <row r="37" spans="1:42" ht="15">
      <c r="A37" s="6"/>
      <c r="B37" s="3"/>
      <c r="C37" s="44" t="s">
        <v>151</v>
      </c>
      <c r="D37" s="52" t="s">
        <v>134</v>
      </c>
      <c r="E37" s="3"/>
      <c r="F37" s="4"/>
      <c r="G37" s="4"/>
      <c r="H37" s="4"/>
      <c r="I37" s="3"/>
      <c r="M37" s="3" t="str">
        <f t="shared" si="1"/>
        <v>UPDATE dbo.CR_MAC SET [CorpID] = '6686', [Description] = 'VCC511' WHERE MAC = '300ED53A895C' IF @@ROWCOUNT = 0 Insert Into dbo.CR_MAC ([CorpID], [MAC], [Description]) Values ('6686', '300ED53A895C', 'VCC511')</v>
      </c>
      <c r="AP37" s="13" t="str">
        <f t="shared" si="0"/>
        <v/>
      </c>
    </row>
    <row r="38" spans="1:42" ht="15">
      <c r="A38" s="6"/>
      <c r="B38" s="3"/>
      <c r="C38" s="44" t="s">
        <v>152</v>
      </c>
      <c r="D38" s="52" t="s">
        <v>135</v>
      </c>
      <c r="E38" s="3"/>
      <c r="F38" s="4"/>
      <c r="G38" s="4"/>
      <c r="H38" s="4"/>
      <c r="I38" s="3"/>
      <c r="M38" s="3" t="str">
        <f t="shared" si="1"/>
        <v>UPDATE dbo.CR_MAC SET [CorpID] = '6686', [Description] = 'VCC512' WHERE MAC = '300ED53A8959' IF @@ROWCOUNT = 0 Insert Into dbo.CR_MAC ([CorpID], [MAC], [Description]) Values ('6686', '300ED53A8959', 'VCC512')</v>
      </c>
      <c r="AP38" s="13" t="str">
        <f t="shared" si="0"/>
        <v/>
      </c>
    </row>
    <row r="39" spans="1:42" ht="15">
      <c r="A39" s="6"/>
      <c r="B39" s="3"/>
      <c r="C39" s="44" t="s">
        <v>153</v>
      </c>
      <c r="D39" s="52" t="s">
        <v>136</v>
      </c>
      <c r="E39" s="3"/>
      <c r="F39" s="4"/>
      <c r="G39" s="4"/>
      <c r="H39" s="4"/>
      <c r="I39" s="3"/>
      <c r="M39" s="3" t="str">
        <f t="shared" si="1"/>
        <v>UPDATE dbo.CR_MAC SET [CorpID] = '6686', [Description] = 'VCC513' WHERE MAC = '300ED53A88D9' IF @@ROWCOUNT = 0 Insert Into dbo.CR_MAC ([CorpID], [MAC], [Description]) Values ('6686', '300ED53A88D9', 'VCC513')</v>
      </c>
      <c r="AP39" s="13" t="str">
        <f t="shared" si="0"/>
        <v/>
      </c>
    </row>
    <row r="40" spans="1:42" ht="15">
      <c r="A40" s="6"/>
      <c r="B40" s="3"/>
      <c r="C40" s="44" t="s">
        <v>154</v>
      </c>
      <c r="D40" s="52" t="s">
        <v>137</v>
      </c>
      <c r="E40" s="3"/>
      <c r="F40" s="4"/>
      <c r="G40" s="4"/>
      <c r="H40" s="4"/>
      <c r="I40" s="3"/>
      <c r="M40" s="3" t="str">
        <f t="shared" si="1"/>
        <v>UPDATE dbo.CR_MAC SET [CorpID] = '6686', [Description] = 'VCC514' WHERE MAC = '300ED53A8870' IF @@ROWCOUNT = 0 Insert Into dbo.CR_MAC ([CorpID], [MAC], [Description]) Values ('6686', '300ED53A8870', 'VCC514')</v>
      </c>
      <c r="AP40" s="13" t="str">
        <f t="shared" si="0"/>
        <v/>
      </c>
    </row>
    <row r="41" spans="1:42" ht="15">
      <c r="A41" s="6"/>
      <c r="B41" s="3"/>
      <c r="C41" s="44" t="s">
        <v>155</v>
      </c>
      <c r="D41" s="52" t="s">
        <v>138</v>
      </c>
      <c r="E41" s="3"/>
      <c r="F41" s="4"/>
      <c r="G41" s="4"/>
      <c r="H41" s="4"/>
      <c r="I41" s="3"/>
      <c r="M41" s="3" t="str">
        <f t="shared" si="1"/>
        <v>UPDATE dbo.CR_MAC SET [CorpID] = '6686', [Description] = 'VCC515' WHERE MAC = '300ED535BCC0' IF @@ROWCOUNT = 0 Insert Into dbo.CR_MAC ([CorpID], [MAC], [Description]) Values ('6686', '300ED535BCC0', 'VCC515')</v>
      </c>
      <c r="AP41" s="13" t="str">
        <f t="shared" ref="AP41:AP72" si="2">UPPER(SUBSTITUTE(SUBSTITUTE(D60, ":", ""), "-",""))</f>
        <v/>
      </c>
    </row>
    <row r="42" spans="1:42" ht="15">
      <c r="A42" s="6"/>
      <c r="B42" s="3"/>
      <c r="C42" s="44" t="s">
        <v>156</v>
      </c>
      <c r="D42" s="52" t="s">
        <v>139</v>
      </c>
      <c r="E42" s="3"/>
      <c r="F42" s="4"/>
      <c r="G42" s="4"/>
      <c r="H42" s="4"/>
      <c r="I42" s="3"/>
      <c r="M42" s="3" t="str">
        <f t="shared" si="1"/>
        <v/>
      </c>
      <c r="AP42" s="13" t="str">
        <f t="shared" si="2"/>
        <v/>
      </c>
    </row>
    <row r="43" spans="1:42" ht="15">
      <c r="A43" s="6"/>
      <c r="B43" s="3"/>
      <c r="C43" s="44" t="s">
        <v>157</v>
      </c>
      <c r="D43" s="52" t="s">
        <v>140</v>
      </c>
      <c r="E43" s="3"/>
      <c r="F43" s="4"/>
      <c r="G43" s="4"/>
      <c r="H43" s="4"/>
      <c r="I43" s="3"/>
      <c r="M43" s="3" t="str">
        <f t="shared" si="1"/>
        <v/>
      </c>
      <c r="AP43" s="13" t="str">
        <f t="shared" si="2"/>
        <v/>
      </c>
    </row>
    <row r="44" spans="1:42" ht="15">
      <c r="A44" s="6"/>
      <c r="B44" s="3"/>
      <c r="C44" s="44"/>
      <c r="D44" s="52"/>
      <c r="E44" s="3"/>
      <c r="F44" s="4"/>
      <c r="G44" s="4"/>
      <c r="H44" s="4"/>
      <c r="I44" s="3"/>
      <c r="M44" s="3" t="str">
        <f t="shared" si="1"/>
        <v/>
      </c>
      <c r="AP44" s="13" t="str">
        <f t="shared" si="2"/>
        <v/>
      </c>
    </row>
    <row r="45" spans="1:42" ht="15">
      <c r="A45" s="6"/>
      <c r="B45" s="3"/>
      <c r="C45" s="44"/>
      <c r="D45" s="52"/>
      <c r="E45" s="3"/>
      <c r="F45" s="4"/>
      <c r="G45" s="4"/>
      <c r="H45" s="4"/>
      <c r="I45" s="3"/>
      <c r="M45" s="3" t="str">
        <f t="shared" si="1"/>
        <v/>
      </c>
      <c r="AP45" s="13" t="str">
        <f t="shared" si="2"/>
        <v/>
      </c>
    </row>
    <row r="46" spans="1:42" ht="15">
      <c r="A46" s="6"/>
      <c r="B46" s="3"/>
      <c r="C46" s="44"/>
      <c r="D46" s="52"/>
      <c r="E46" s="3"/>
      <c r="F46" s="4"/>
      <c r="G46" s="4"/>
      <c r="H46" s="4"/>
      <c r="I46" s="3"/>
      <c r="M46" s="3" t="str">
        <f t="shared" si="1"/>
        <v/>
      </c>
      <c r="AP46" s="13" t="str">
        <f t="shared" si="2"/>
        <v/>
      </c>
    </row>
    <row r="47" spans="1:42" ht="15">
      <c r="A47" s="6"/>
      <c r="B47" s="3"/>
      <c r="C47" s="44"/>
      <c r="D47" s="52"/>
      <c r="E47" s="3"/>
      <c r="F47" s="4"/>
      <c r="G47" s="4"/>
      <c r="H47" s="4"/>
      <c r="I47" s="3"/>
      <c r="M47" s="3" t="str">
        <f t="shared" si="1"/>
        <v/>
      </c>
      <c r="AP47" s="13" t="str">
        <f t="shared" si="2"/>
        <v/>
      </c>
    </row>
    <row r="48" spans="1:42" ht="15">
      <c r="A48" s="6"/>
      <c r="B48" s="3"/>
      <c r="C48" s="44"/>
      <c r="D48" s="52"/>
      <c r="E48" s="3"/>
      <c r="F48" s="4"/>
      <c r="G48" s="4"/>
      <c r="H48" s="4"/>
      <c r="I48" s="3"/>
      <c r="M48" s="3" t="str">
        <f t="shared" si="1"/>
        <v/>
      </c>
      <c r="AP48" s="13" t="str">
        <f t="shared" si="2"/>
        <v/>
      </c>
    </row>
    <row r="49" spans="1:42" ht="15">
      <c r="A49" s="6"/>
      <c r="B49" s="3"/>
      <c r="C49" s="44"/>
      <c r="D49" s="52"/>
      <c r="E49" s="3"/>
      <c r="F49" s="4"/>
      <c r="G49" s="4"/>
      <c r="H49" s="4"/>
      <c r="I49" s="3"/>
      <c r="M49" s="3" t="str">
        <f t="shared" si="1"/>
        <v/>
      </c>
      <c r="AP49" s="13" t="str">
        <f t="shared" si="2"/>
        <v/>
      </c>
    </row>
    <row r="50" spans="1:42" ht="15">
      <c r="A50" s="6"/>
      <c r="B50" s="3"/>
      <c r="C50" s="44"/>
      <c r="D50" s="52"/>
      <c r="E50" s="3"/>
      <c r="F50" s="4"/>
      <c r="G50" s="4"/>
      <c r="H50" s="4"/>
      <c r="I50" s="3"/>
      <c r="M50" s="3" t="str">
        <f t="shared" si="1"/>
        <v/>
      </c>
      <c r="AP50" s="13" t="str">
        <f t="shared" si="2"/>
        <v/>
      </c>
    </row>
    <row r="51" spans="1:42" ht="15">
      <c r="A51" s="6"/>
      <c r="B51" s="3"/>
      <c r="C51" s="44"/>
      <c r="D51" s="52"/>
      <c r="E51" s="3"/>
      <c r="F51" s="4"/>
      <c r="G51" s="4"/>
      <c r="H51" s="4"/>
      <c r="I51" s="3"/>
      <c r="M51" s="3" t="str">
        <f t="shared" si="1"/>
        <v/>
      </c>
      <c r="AP51" s="13" t="str">
        <f t="shared" si="2"/>
        <v/>
      </c>
    </row>
    <row r="52" spans="1:42" ht="15">
      <c r="A52" s="6"/>
      <c r="B52" s="3"/>
      <c r="C52" s="44"/>
      <c r="D52" s="52"/>
      <c r="E52" s="3"/>
      <c r="F52" s="4"/>
      <c r="G52" s="4"/>
      <c r="H52" s="4"/>
      <c r="I52" s="3"/>
      <c r="M52" s="3" t="str">
        <f t="shared" si="1"/>
        <v/>
      </c>
      <c r="AP52" s="13" t="str">
        <f t="shared" si="2"/>
        <v/>
      </c>
    </row>
    <row r="53" spans="1:42" ht="15">
      <c r="A53" s="6"/>
      <c r="B53" s="3"/>
      <c r="C53" s="44"/>
      <c r="D53" s="52"/>
      <c r="E53" s="3"/>
      <c r="F53" s="4"/>
      <c r="G53" s="4"/>
      <c r="H53" s="4"/>
      <c r="I53" s="3"/>
      <c r="M53" s="3" t="str">
        <f t="shared" si="1"/>
        <v/>
      </c>
      <c r="AP53" s="13" t="str">
        <f t="shared" si="2"/>
        <v/>
      </c>
    </row>
    <row r="54" spans="1:42" ht="15">
      <c r="A54" s="6"/>
      <c r="B54" s="3"/>
      <c r="C54" s="44"/>
      <c r="D54" s="52"/>
      <c r="E54" s="3"/>
      <c r="F54" s="4"/>
      <c r="G54" s="4"/>
      <c r="H54" s="4"/>
      <c r="I54" s="3"/>
      <c r="M54" s="3" t="str">
        <f t="shared" si="1"/>
        <v/>
      </c>
      <c r="AP54" s="13" t="str">
        <f t="shared" si="2"/>
        <v/>
      </c>
    </row>
    <row r="55" spans="1:42" ht="15">
      <c r="A55" s="6"/>
      <c r="B55" s="3"/>
      <c r="C55" s="45"/>
      <c r="D55" s="53"/>
      <c r="E55" s="3"/>
      <c r="F55" s="4"/>
      <c r="G55" s="4"/>
      <c r="H55" s="4"/>
      <c r="I55" s="3"/>
      <c r="M55" s="3" t="str">
        <f t="shared" si="1"/>
        <v/>
      </c>
      <c r="AP55" s="13" t="str">
        <f t="shared" si="2"/>
        <v/>
      </c>
    </row>
    <row r="56" spans="1:42" ht="15">
      <c r="A56" s="6"/>
      <c r="B56" s="3"/>
      <c r="C56" s="44"/>
      <c r="D56" s="52"/>
      <c r="E56" s="3"/>
      <c r="F56" s="4"/>
      <c r="G56" s="4"/>
      <c r="H56" s="4"/>
      <c r="I56" s="3"/>
      <c r="M56" s="3" t="str">
        <f t="shared" si="1"/>
        <v/>
      </c>
      <c r="AP56" s="13" t="str">
        <f t="shared" si="2"/>
        <v/>
      </c>
    </row>
    <row r="57" spans="1:42" ht="15">
      <c r="A57" s="6"/>
      <c r="B57" s="3"/>
      <c r="C57" s="31"/>
      <c r="D57" s="33"/>
      <c r="E57" s="32"/>
      <c r="F57" s="4"/>
      <c r="G57" s="4"/>
      <c r="H57" s="4"/>
      <c r="I57" s="3"/>
      <c r="M57" s="3" t="str">
        <f t="shared" ref="M57:M88" si="3">IF(AP40&lt;&gt;"","UPDATE dbo.CR_MAC SET [CorpID] = '" &amp; $F$4 &amp; "', [Description] = '" &amp; C59 &amp;"' WHERE MAC = '" &amp; AP40 &amp; "' IF @@ROWCOUNT = 0 Insert Into dbo.CR_MAC ([CorpID], [MAC], [Description]) Values ('" &amp; $F$4 &amp; "', '" &amp; AP40 &amp; "', '" &amp; C59 &amp; "')","")</f>
        <v/>
      </c>
      <c r="AP57" s="13" t="str">
        <f t="shared" si="2"/>
        <v/>
      </c>
    </row>
    <row r="58" spans="1:42" ht="15">
      <c r="A58" s="6"/>
      <c r="B58" s="3"/>
      <c r="C58" s="31"/>
      <c r="D58" s="33"/>
      <c r="E58" s="32"/>
      <c r="F58" s="4"/>
      <c r="G58" s="4"/>
      <c r="H58" s="4"/>
      <c r="I58" s="3"/>
      <c r="M58" s="3" t="str">
        <f t="shared" si="3"/>
        <v/>
      </c>
      <c r="AP58" s="13" t="str">
        <f t="shared" si="2"/>
        <v/>
      </c>
    </row>
    <row r="59" spans="1:42" ht="15">
      <c r="A59" s="6"/>
      <c r="B59" s="3"/>
      <c r="C59" s="31"/>
      <c r="D59" s="33"/>
      <c r="E59" s="32"/>
      <c r="F59" s="4"/>
      <c r="G59" s="4"/>
      <c r="H59" s="4"/>
      <c r="I59" s="3"/>
      <c r="M59" s="3" t="str">
        <f t="shared" si="3"/>
        <v/>
      </c>
      <c r="AP59" s="13" t="str">
        <f t="shared" si="2"/>
        <v/>
      </c>
    </row>
    <row r="60" spans="1:42" ht="15">
      <c r="A60" s="6"/>
      <c r="B60" s="3"/>
      <c r="C60" s="31"/>
      <c r="D60" s="33"/>
      <c r="E60" s="32"/>
      <c r="F60" s="4"/>
      <c r="G60" s="4"/>
      <c r="H60" s="4"/>
      <c r="I60" s="3"/>
      <c r="M60" s="3" t="str">
        <f t="shared" si="3"/>
        <v/>
      </c>
      <c r="AP60" s="13" t="str">
        <f t="shared" si="2"/>
        <v/>
      </c>
    </row>
    <row r="61" spans="1:42" ht="15">
      <c r="A61" s="6"/>
      <c r="B61" s="3"/>
      <c r="C61" s="31"/>
      <c r="D61" s="33"/>
      <c r="E61" s="32"/>
      <c r="F61" s="4"/>
      <c r="G61" s="4"/>
      <c r="H61" s="4"/>
      <c r="I61" s="3"/>
      <c r="M61" s="3" t="str">
        <f t="shared" si="3"/>
        <v/>
      </c>
      <c r="AP61" s="13" t="str">
        <f t="shared" si="2"/>
        <v/>
      </c>
    </row>
    <row r="62" spans="1:42" ht="15">
      <c r="A62" s="6"/>
      <c r="B62" s="3"/>
      <c r="C62" s="31"/>
      <c r="D62" s="33"/>
      <c r="E62" s="32"/>
      <c r="F62" s="4"/>
      <c r="G62" s="4"/>
      <c r="H62" s="4"/>
      <c r="I62" s="3"/>
      <c r="M62" s="3" t="str">
        <f t="shared" si="3"/>
        <v/>
      </c>
      <c r="AP62" s="13" t="str">
        <f t="shared" si="2"/>
        <v/>
      </c>
    </row>
    <row r="63" spans="1:42" ht="15">
      <c r="A63" s="6"/>
      <c r="B63" s="3"/>
      <c r="C63" s="31"/>
      <c r="D63" s="33"/>
      <c r="E63" s="32"/>
      <c r="F63" s="4"/>
      <c r="G63" s="4"/>
      <c r="H63" s="4"/>
      <c r="I63" s="3"/>
      <c r="M63" s="3" t="str">
        <f t="shared" si="3"/>
        <v/>
      </c>
      <c r="AP63" s="13" t="str">
        <f t="shared" si="2"/>
        <v/>
      </c>
    </row>
    <row r="64" spans="1:42" ht="15">
      <c r="A64" s="6"/>
      <c r="B64" s="3"/>
      <c r="C64" s="31"/>
      <c r="D64" s="33"/>
      <c r="E64" s="32"/>
      <c r="F64" s="4"/>
      <c r="G64" s="4"/>
      <c r="H64" s="4"/>
      <c r="I64" s="3"/>
      <c r="M64" s="3" t="str">
        <f t="shared" si="3"/>
        <v/>
      </c>
      <c r="AP64" s="13" t="str">
        <f t="shared" si="2"/>
        <v/>
      </c>
    </row>
    <row r="65" spans="1:42" ht="15">
      <c r="A65" s="6"/>
      <c r="B65" s="3"/>
      <c r="C65" s="31"/>
      <c r="D65" s="33"/>
      <c r="E65" s="32"/>
      <c r="F65" s="4"/>
      <c r="G65" s="4"/>
      <c r="H65" s="4"/>
      <c r="I65" s="3"/>
      <c r="M65" s="3" t="str">
        <f t="shared" si="3"/>
        <v/>
      </c>
      <c r="AP65" s="13" t="str">
        <f t="shared" si="2"/>
        <v/>
      </c>
    </row>
    <row r="66" spans="1:42" ht="15">
      <c r="A66" s="6"/>
      <c r="B66" s="3"/>
      <c r="C66" s="31"/>
      <c r="D66" s="33"/>
      <c r="E66" s="32"/>
      <c r="F66" s="4"/>
      <c r="G66" s="4"/>
      <c r="H66" s="4"/>
      <c r="I66" s="3"/>
      <c r="M66" s="3" t="str">
        <f t="shared" si="3"/>
        <v/>
      </c>
      <c r="AP66" s="13" t="str">
        <f t="shared" si="2"/>
        <v/>
      </c>
    </row>
    <row r="67" spans="1:42" ht="15">
      <c r="A67" s="6"/>
      <c r="B67" s="3"/>
      <c r="C67" s="31"/>
      <c r="D67" s="33"/>
      <c r="E67" s="32"/>
      <c r="F67" s="4"/>
      <c r="G67" s="4"/>
      <c r="H67" s="4"/>
      <c r="I67" s="3"/>
      <c r="M67" s="3" t="str">
        <f t="shared" si="3"/>
        <v/>
      </c>
      <c r="AP67" s="13" t="str">
        <f t="shared" si="2"/>
        <v/>
      </c>
    </row>
    <row r="68" spans="1:42" ht="15">
      <c r="A68" s="6"/>
      <c r="B68" s="3"/>
      <c r="C68" s="31"/>
      <c r="D68" s="33"/>
      <c r="E68" s="32"/>
      <c r="F68" s="4"/>
      <c r="G68" s="4"/>
      <c r="H68" s="4"/>
      <c r="I68" s="3"/>
      <c r="M68" s="3" t="str">
        <f t="shared" si="3"/>
        <v/>
      </c>
      <c r="AP68" s="13" t="str">
        <f t="shared" si="2"/>
        <v/>
      </c>
    </row>
    <row r="69" spans="1:42" ht="15">
      <c r="A69" s="6"/>
      <c r="B69" s="3"/>
      <c r="C69" s="31"/>
      <c r="D69" s="33"/>
      <c r="E69" s="32"/>
      <c r="F69" s="4"/>
      <c r="G69" s="4"/>
      <c r="H69" s="4"/>
      <c r="I69" s="3"/>
      <c r="M69" s="3" t="str">
        <f t="shared" si="3"/>
        <v/>
      </c>
      <c r="AP69" s="13" t="str">
        <f t="shared" si="2"/>
        <v/>
      </c>
    </row>
    <row r="70" spans="1:42" ht="15">
      <c r="A70" s="6"/>
      <c r="B70" s="3"/>
      <c r="C70" s="31"/>
      <c r="D70" s="33"/>
      <c r="E70" s="32"/>
      <c r="F70" s="4"/>
      <c r="G70" s="4"/>
      <c r="H70" s="4"/>
      <c r="I70" s="3"/>
      <c r="M70" s="3" t="str">
        <f t="shared" si="3"/>
        <v/>
      </c>
      <c r="AP70" s="13" t="str">
        <f t="shared" si="2"/>
        <v/>
      </c>
    </row>
    <row r="71" spans="1:42" ht="15">
      <c r="A71" s="6"/>
      <c r="B71" s="3"/>
      <c r="C71" s="31"/>
      <c r="D71" s="33"/>
      <c r="E71" s="32"/>
      <c r="F71" s="4"/>
      <c r="G71" s="4"/>
      <c r="H71" s="4"/>
      <c r="I71" s="3"/>
      <c r="M71" s="3" t="str">
        <f t="shared" si="3"/>
        <v/>
      </c>
      <c r="AP71" s="13" t="str">
        <f t="shared" si="2"/>
        <v/>
      </c>
    </row>
    <row r="72" spans="1:42" ht="15">
      <c r="A72" s="6"/>
      <c r="B72" s="3"/>
      <c r="C72" s="31"/>
      <c r="D72" s="33"/>
      <c r="E72" s="32"/>
      <c r="F72" s="4"/>
      <c r="G72" s="4"/>
      <c r="H72" s="4"/>
      <c r="I72" s="3"/>
      <c r="M72" s="3" t="str">
        <f t="shared" si="3"/>
        <v/>
      </c>
      <c r="AP72" s="13" t="str">
        <f t="shared" si="2"/>
        <v/>
      </c>
    </row>
    <row r="73" spans="1:42" ht="15">
      <c r="A73" s="6"/>
      <c r="B73" s="3"/>
      <c r="C73" s="31"/>
      <c r="D73" s="33"/>
      <c r="E73" s="32"/>
      <c r="F73" s="4"/>
      <c r="G73" s="4"/>
      <c r="H73" s="4"/>
      <c r="I73" s="3"/>
      <c r="M73" s="3" t="str">
        <f t="shared" si="3"/>
        <v/>
      </c>
      <c r="AP73" s="13" t="str">
        <f t="shared" ref="AP73:AP99" si="4">UPPER(SUBSTITUTE(SUBSTITUTE(D92, ":", ""), "-",""))</f>
        <v/>
      </c>
    </row>
    <row r="74" spans="1:42" ht="15">
      <c r="A74" s="6"/>
      <c r="B74" s="3"/>
      <c r="C74" s="31"/>
      <c r="D74" s="33"/>
      <c r="E74" s="32"/>
      <c r="F74" s="4"/>
      <c r="G74" s="4"/>
      <c r="H74" s="4"/>
      <c r="I74" s="3"/>
      <c r="M74" s="3" t="str">
        <f t="shared" si="3"/>
        <v/>
      </c>
      <c r="AP74" s="13" t="str">
        <f t="shared" si="4"/>
        <v/>
      </c>
    </row>
    <row r="75" spans="1:42" ht="15">
      <c r="A75" s="6"/>
      <c r="B75" s="3"/>
      <c r="C75" s="31"/>
      <c r="D75" s="33"/>
      <c r="E75" s="32"/>
      <c r="F75" s="4"/>
      <c r="G75" s="4"/>
      <c r="H75" s="4"/>
      <c r="I75" s="3"/>
      <c r="M75" s="3" t="str">
        <f t="shared" si="3"/>
        <v/>
      </c>
      <c r="AP75" s="13" t="str">
        <f t="shared" si="4"/>
        <v/>
      </c>
    </row>
    <row r="76" spans="1:42" ht="15">
      <c r="A76" s="6"/>
      <c r="B76" s="3"/>
      <c r="C76" s="31"/>
      <c r="D76" s="33"/>
      <c r="E76" s="32"/>
      <c r="F76" s="4"/>
      <c r="G76" s="4"/>
      <c r="H76" s="4"/>
      <c r="I76" s="3"/>
      <c r="M76" s="3" t="str">
        <f t="shared" si="3"/>
        <v/>
      </c>
      <c r="AP76" s="13" t="str">
        <f t="shared" si="4"/>
        <v/>
      </c>
    </row>
    <row r="77" spans="1:42" ht="15">
      <c r="A77" s="6"/>
      <c r="B77" s="3"/>
      <c r="C77" s="31"/>
      <c r="D77" s="33"/>
      <c r="E77" s="32"/>
      <c r="F77" s="4"/>
      <c r="G77" s="4"/>
      <c r="H77" s="4"/>
      <c r="I77" s="3"/>
      <c r="M77" s="3" t="str">
        <f t="shared" si="3"/>
        <v/>
      </c>
      <c r="AP77" s="13" t="str">
        <f t="shared" si="4"/>
        <v/>
      </c>
    </row>
    <row r="78" spans="1:42" ht="15">
      <c r="A78" s="6"/>
      <c r="B78" s="3"/>
      <c r="C78" s="31"/>
      <c r="D78" s="33"/>
      <c r="E78" s="32"/>
      <c r="F78" s="4"/>
      <c r="G78" s="4"/>
      <c r="H78" s="4"/>
      <c r="I78" s="3"/>
      <c r="M78" s="3" t="str">
        <f t="shared" si="3"/>
        <v/>
      </c>
      <c r="AP78" s="13" t="str">
        <f t="shared" si="4"/>
        <v/>
      </c>
    </row>
    <row r="79" spans="1:42" ht="15">
      <c r="A79" s="6"/>
      <c r="B79" s="3"/>
      <c r="C79" s="31"/>
      <c r="D79" s="33"/>
      <c r="E79" s="32"/>
      <c r="F79" s="4"/>
      <c r="G79" s="4"/>
      <c r="H79" s="4"/>
      <c r="I79" s="3"/>
      <c r="M79" s="3" t="str">
        <f t="shared" si="3"/>
        <v/>
      </c>
      <c r="AP79" s="13" t="str">
        <f t="shared" si="4"/>
        <v/>
      </c>
    </row>
    <row r="80" spans="1:42" ht="15">
      <c r="A80" s="6"/>
      <c r="B80" s="3"/>
      <c r="C80" s="31"/>
      <c r="D80" s="33"/>
      <c r="E80" s="32"/>
      <c r="F80" s="4"/>
      <c r="G80" s="4"/>
      <c r="H80" s="4"/>
      <c r="I80" s="3"/>
      <c r="M80" s="3" t="str">
        <f t="shared" si="3"/>
        <v/>
      </c>
      <c r="AP80" s="13" t="str">
        <f t="shared" si="4"/>
        <v/>
      </c>
    </row>
    <row r="81" spans="1:42" ht="15">
      <c r="A81" s="6"/>
      <c r="B81" s="3"/>
      <c r="C81" s="31"/>
      <c r="D81" s="33"/>
      <c r="E81" s="32"/>
      <c r="F81" s="4"/>
      <c r="G81" s="4"/>
      <c r="H81" s="4"/>
      <c r="I81" s="3"/>
      <c r="M81" s="3" t="str">
        <f t="shared" si="3"/>
        <v/>
      </c>
      <c r="AP81" s="13" t="str">
        <f t="shared" si="4"/>
        <v/>
      </c>
    </row>
    <row r="82" spans="1:42" ht="15">
      <c r="A82" s="6"/>
      <c r="B82" s="3"/>
      <c r="C82" s="31"/>
      <c r="D82" s="33"/>
      <c r="E82" s="32"/>
      <c r="F82" s="4"/>
      <c r="G82" s="4"/>
      <c r="H82" s="4"/>
      <c r="I82" s="3"/>
      <c r="M82" s="3" t="str">
        <f t="shared" si="3"/>
        <v/>
      </c>
      <c r="AP82" s="13" t="str">
        <f t="shared" si="4"/>
        <v/>
      </c>
    </row>
    <row r="83" spans="1:42" ht="15">
      <c r="A83" s="6"/>
      <c r="B83" s="3"/>
      <c r="C83" s="31"/>
      <c r="D83" s="33"/>
      <c r="E83" s="32"/>
      <c r="F83" s="4"/>
      <c r="G83" s="4"/>
      <c r="H83" s="4"/>
      <c r="I83" s="3"/>
      <c r="M83" s="3" t="str">
        <f t="shared" si="3"/>
        <v/>
      </c>
      <c r="AP83" s="13" t="str">
        <f t="shared" si="4"/>
        <v/>
      </c>
    </row>
    <row r="84" spans="1:42" ht="15">
      <c r="A84" s="6"/>
      <c r="B84" s="3"/>
      <c r="C84" s="31"/>
      <c r="D84" s="33"/>
      <c r="E84" s="32"/>
      <c r="F84" s="4"/>
      <c r="G84" s="4"/>
      <c r="H84" s="4"/>
      <c r="I84" s="3"/>
      <c r="M84" s="3" t="str">
        <f t="shared" si="3"/>
        <v/>
      </c>
      <c r="AP84" s="13" t="str">
        <f t="shared" si="4"/>
        <v/>
      </c>
    </row>
    <row r="85" spans="1:42" ht="15">
      <c r="A85" s="6"/>
      <c r="B85" s="3"/>
      <c r="C85" s="31"/>
      <c r="D85" s="33"/>
      <c r="E85" s="32"/>
      <c r="F85" s="4"/>
      <c r="G85" s="4"/>
      <c r="H85" s="4"/>
      <c r="I85" s="3"/>
      <c r="M85" s="3" t="str">
        <f t="shared" si="3"/>
        <v/>
      </c>
      <c r="AP85" s="13" t="str">
        <f t="shared" si="4"/>
        <v/>
      </c>
    </row>
    <row r="86" spans="1:42" ht="15">
      <c r="A86" s="6"/>
      <c r="B86" s="3"/>
      <c r="C86" s="31"/>
      <c r="D86" s="33"/>
      <c r="E86" s="32"/>
      <c r="F86" s="4"/>
      <c r="G86" s="4"/>
      <c r="H86" s="4"/>
      <c r="I86" s="3"/>
      <c r="M86" s="3" t="str">
        <f t="shared" si="3"/>
        <v/>
      </c>
      <c r="AP86" s="13" t="str">
        <f t="shared" si="4"/>
        <v/>
      </c>
    </row>
    <row r="87" spans="1:42" ht="15">
      <c r="A87" s="6"/>
      <c r="B87" s="3"/>
      <c r="C87" s="31"/>
      <c r="D87" s="33"/>
      <c r="E87" s="32"/>
      <c r="F87" s="4"/>
      <c r="G87" s="4"/>
      <c r="H87" s="4"/>
      <c r="I87" s="3"/>
      <c r="M87" s="3" t="str">
        <f t="shared" si="3"/>
        <v/>
      </c>
      <c r="AP87" s="13" t="str">
        <f t="shared" si="4"/>
        <v/>
      </c>
    </row>
    <row r="88" spans="1:42" ht="15">
      <c r="A88" s="6"/>
      <c r="B88" s="3"/>
      <c r="C88" s="31"/>
      <c r="D88" s="33"/>
      <c r="E88" s="32"/>
      <c r="F88" s="4"/>
      <c r="G88" s="4"/>
      <c r="H88" s="4"/>
      <c r="I88" s="3"/>
      <c r="M88" s="3" t="str">
        <f t="shared" si="3"/>
        <v/>
      </c>
      <c r="AP88" s="13" t="str">
        <f t="shared" si="4"/>
        <v/>
      </c>
    </row>
    <row r="89" spans="1:42" ht="15">
      <c r="A89" s="6"/>
      <c r="B89" s="3"/>
      <c r="C89" s="31"/>
      <c r="D89" s="33"/>
      <c r="E89" s="32"/>
      <c r="F89" s="4"/>
      <c r="G89" s="4"/>
      <c r="H89" s="4"/>
      <c r="I89" s="3"/>
      <c r="M89" s="3" t="str">
        <f t="shared" ref="M89:M116" si="5">IF(AP72&lt;&gt;"","UPDATE dbo.CR_MAC SET [CorpID] = '" &amp; $F$4 &amp; "', [Description] = '" &amp; C91 &amp;"' WHERE MAC = '" &amp; AP72 &amp; "' IF @@ROWCOUNT = 0 Insert Into dbo.CR_MAC ([CorpID], [MAC], [Description]) Values ('" &amp; $F$4 &amp; "', '" &amp; AP72 &amp; "', '" &amp; C91 &amp; "')","")</f>
        <v/>
      </c>
      <c r="AP89" s="13" t="str">
        <f t="shared" si="4"/>
        <v/>
      </c>
    </row>
    <row r="90" spans="1:42" ht="15">
      <c r="A90" s="6"/>
      <c r="B90" s="3"/>
      <c r="C90" s="31"/>
      <c r="D90" s="33"/>
      <c r="E90" s="32"/>
      <c r="F90" s="4"/>
      <c r="G90" s="4"/>
      <c r="H90" s="4"/>
      <c r="I90" s="3"/>
      <c r="M90" s="3" t="str">
        <f t="shared" si="5"/>
        <v/>
      </c>
      <c r="AP90" s="13" t="str">
        <f t="shared" si="4"/>
        <v/>
      </c>
    </row>
    <row r="91" spans="1:42" ht="15">
      <c r="A91" s="6"/>
      <c r="B91" s="3"/>
      <c r="C91" s="31"/>
      <c r="D91" s="33"/>
      <c r="E91" s="32"/>
      <c r="F91" s="4"/>
      <c r="G91" s="4"/>
      <c r="H91" s="4"/>
      <c r="I91" s="3"/>
      <c r="M91" s="3" t="str">
        <f t="shared" si="5"/>
        <v/>
      </c>
      <c r="AP91" s="13" t="str">
        <f t="shared" si="4"/>
        <v/>
      </c>
    </row>
    <row r="92" spans="1:42" ht="15">
      <c r="A92" s="6"/>
      <c r="B92" s="3"/>
      <c r="C92" s="31"/>
      <c r="D92" s="33"/>
      <c r="E92" s="32"/>
      <c r="F92" s="4"/>
      <c r="G92" s="4"/>
      <c r="H92" s="4"/>
      <c r="I92" s="3"/>
      <c r="M92" s="3" t="str">
        <f t="shared" si="5"/>
        <v/>
      </c>
      <c r="AP92" s="13" t="str">
        <f t="shared" si="4"/>
        <v/>
      </c>
    </row>
    <row r="93" spans="1:42" ht="15">
      <c r="A93" s="6"/>
      <c r="B93" s="3"/>
      <c r="C93" s="31"/>
      <c r="D93" s="33"/>
      <c r="E93" s="32"/>
      <c r="F93" s="4"/>
      <c r="G93" s="4"/>
      <c r="H93" s="4"/>
      <c r="I93" s="3"/>
      <c r="M93" s="3" t="str">
        <f t="shared" si="5"/>
        <v/>
      </c>
      <c r="AP93" s="13" t="str">
        <f t="shared" si="4"/>
        <v/>
      </c>
    </row>
    <row r="94" spans="1:42" ht="15">
      <c r="A94" s="6"/>
      <c r="B94" s="3"/>
      <c r="C94" s="31"/>
      <c r="D94" s="33"/>
      <c r="E94" s="32"/>
      <c r="F94" s="4"/>
      <c r="G94" s="4"/>
      <c r="H94" s="4"/>
      <c r="I94" s="3"/>
      <c r="M94" s="3" t="str">
        <f t="shared" si="5"/>
        <v/>
      </c>
      <c r="AP94" s="13" t="str">
        <f t="shared" si="4"/>
        <v/>
      </c>
    </row>
    <row r="95" spans="1:42" ht="15">
      <c r="A95" s="6"/>
      <c r="B95" s="3"/>
      <c r="C95" s="31"/>
      <c r="D95" s="33"/>
      <c r="E95" s="32"/>
      <c r="F95" s="4"/>
      <c r="G95" s="4"/>
      <c r="H95" s="4"/>
      <c r="I95" s="3"/>
      <c r="M95" s="3" t="str">
        <f t="shared" si="5"/>
        <v/>
      </c>
      <c r="AP95" s="13" t="str">
        <f t="shared" si="4"/>
        <v/>
      </c>
    </row>
    <row r="96" spans="1:42" ht="15">
      <c r="A96" s="6"/>
      <c r="B96" s="3"/>
      <c r="C96" s="31"/>
      <c r="D96" s="33"/>
      <c r="E96" s="32"/>
      <c r="F96" s="4"/>
      <c r="G96" s="4"/>
      <c r="H96" s="4"/>
      <c r="I96" s="3"/>
      <c r="M96" s="3" t="str">
        <f t="shared" si="5"/>
        <v/>
      </c>
      <c r="AP96" s="13" t="str">
        <f t="shared" si="4"/>
        <v/>
      </c>
    </row>
    <row r="97" spans="1:42" ht="15">
      <c r="A97" s="6"/>
      <c r="B97" s="3"/>
      <c r="C97" s="31"/>
      <c r="D97" s="33"/>
      <c r="E97" s="32"/>
      <c r="F97" s="4"/>
      <c r="G97" s="4"/>
      <c r="H97" s="4"/>
      <c r="I97" s="3"/>
      <c r="M97" s="3" t="str">
        <f t="shared" si="5"/>
        <v/>
      </c>
      <c r="AP97" s="13" t="str">
        <f t="shared" si="4"/>
        <v/>
      </c>
    </row>
    <row r="98" spans="1:42" ht="15">
      <c r="A98" s="6"/>
      <c r="B98" s="3"/>
      <c r="C98" s="31"/>
      <c r="D98" s="33"/>
      <c r="E98" s="32"/>
      <c r="F98" s="4"/>
      <c r="G98" s="4"/>
      <c r="H98" s="4"/>
      <c r="I98" s="3"/>
      <c r="M98" s="3" t="str">
        <f t="shared" si="5"/>
        <v/>
      </c>
      <c r="AP98" s="13" t="str">
        <f t="shared" si="4"/>
        <v/>
      </c>
    </row>
    <row r="99" spans="1:42" ht="15">
      <c r="A99" s="6"/>
      <c r="B99" s="3"/>
      <c r="C99" s="31"/>
      <c r="D99" s="33"/>
      <c r="E99" s="32"/>
      <c r="F99" s="4"/>
      <c r="G99" s="4"/>
      <c r="H99" s="4"/>
      <c r="I99" s="3"/>
      <c r="M99" s="3" t="str">
        <f t="shared" si="5"/>
        <v/>
      </c>
      <c r="AP99" s="13" t="str">
        <f t="shared" si="4"/>
        <v/>
      </c>
    </row>
    <row r="100" spans="1:42" ht="15">
      <c r="A100" s="6"/>
      <c r="B100" s="3"/>
      <c r="C100" s="31"/>
      <c r="D100" s="33"/>
      <c r="E100" s="32"/>
      <c r="F100" s="4"/>
      <c r="G100" s="4"/>
      <c r="H100" s="4"/>
      <c r="I100" s="3"/>
      <c r="M100" s="3" t="str">
        <f t="shared" si="5"/>
        <v/>
      </c>
    </row>
    <row r="101" spans="1:42" ht="15">
      <c r="A101" s="6"/>
      <c r="B101" s="3"/>
      <c r="C101" s="31"/>
      <c r="D101" s="33"/>
      <c r="E101" s="32"/>
      <c r="F101" s="4"/>
      <c r="G101" s="4"/>
      <c r="H101" s="4"/>
      <c r="I101" s="3"/>
      <c r="M101" s="3" t="str">
        <f t="shared" si="5"/>
        <v/>
      </c>
    </row>
    <row r="102" spans="1:42" ht="15">
      <c r="A102" s="6"/>
      <c r="B102" s="3"/>
      <c r="C102" s="31"/>
      <c r="D102" s="33"/>
      <c r="E102" s="32"/>
      <c r="F102" s="4"/>
      <c r="G102" s="4"/>
      <c r="H102" s="4"/>
      <c r="I102" s="3"/>
      <c r="M102" s="3" t="str">
        <f t="shared" si="5"/>
        <v/>
      </c>
    </row>
    <row r="103" spans="1:42" ht="15">
      <c r="A103" s="6"/>
      <c r="B103" s="3"/>
      <c r="C103" s="31"/>
      <c r="D103" s="33"/>
      <c r="E103" s="32"/>
      <c r="F103" s="4"/>
      <c r="G103" s="4"/>
      <c r="H103" s="4"/>
      <c r="I103" s="3"/>
      <c r="M103" s="3" t="str">
        <f t="shared" si="5"/>
        <v/>
      </c>
    </row>
    <row r="104" spans="1:42" ht="15">
      <c r="A104" s="6"/>
      <c r="B104" s="3"/>
      <c r="C104" s="31"/>
      <c r="D104" s="33"/>
      <c r="E104" s="32"/>
      <c r="F104" s="4"/>
      <c r="G104" s="4"/>
      <c r="H104" s="4"/>
      <c r="I104" s="3"/>
      <c r="M104" s="3" t="str">
        <f t="shared" si="5"/>
        <v/>
      </c>
    </row>
    <row r="105" spans="1:42" ht="15">
      <c r="A105" s="6"/>
      <c r="B105" s="3"/>
      <c r="C105" s="31"/>
      <c r="D105" s="33"/>
      <c r="E105" s="32"/>
      <c r="F105" s="4"/>
      <c r="G105" s="4"/>
      <c r="H105" s="4"/>
      <c r="I105" s="3"/>
      <c r="M105" s="3" t="str">
        <f t="shared" si="5"/>
        <v/>
      </c>
    </row>
    <row r="106" spans="1:42" ht="15">
      <c r="A106" s="6"/>
      <c r="B106" s="3"/>
      <c r="C106" s="31"/>
      <c r="D106" s="33"/>
      <c r="E106" s="32"/>
      <c r="F106" s="4"/>
      <c r="G106" s="4"/>
      <c r="H106" s="4"/>
      <c r="I106" s="3"/>
      <c r="M106" s="3" t="str">
        <f t="shared" si="5"/>
        <v/>
      </c>
    </row>
    <row r="107" spans="1:42" ht="15">
      <c r="A107" s="6"/>
      <c r="B107" s="3"/>
      <c r="C107" s="31"/>
      <c r="D107" s="33"/>
      <c r="E107" s="32"/>
      <c r="F107" s="4"/>
      <c r="G107" s="4"/>
      <c r="H107" s="4"/>
      <c r="I107" s="3"/>
      <c r="M107" s="3" t="str">
        <f t="shared" si="5"/>
        <v/>
      </c>
    </row>
    <row r="108" spans="1:42" ht="15">
      <c r="A108" s="6"/>
      <c r="B108" s="3"/>
      <c r="C108" s="31"/>
      <c r="D108" s="33"/>
      <c r="E108" s="32"/>
      <c r="F108" s="4"/>
      <c r="G108" s="4"/>
      <c r="H108" s="4"/>
      <c r="I108" s="3"/>
      <c r="M108" s="3" t="str">
        <f t="shared" si="5"/>
        <v/>
      </c>
    </row>
    <row r="109" spans="1:42" ht="15">
      <c r="A109" s="6"/>
      <c r="B109" s="3"/>
      <c r="C109" s="31"/>
      <c r="D109" s="33"/>
      <c r="E109" s="32"/>
      <c r="F109" s="4"/>
      <c r="G109" s="4"/>
      <c r="H109" s="4"/>
      <c r="I109" s="3"/>
      <c r="M109" s="3" t="str">
        <f t="shared" si="5"/>
        <v/>
      </c>
    </row>
    <row r="110" spans="1:42" ht="15">
      <c r="A110" s="6"/>
      <c r="B110" s="3"/>
      <c r="C110" s="31"/>
      <c r="D110" s="33"/>
      <c r="E110" s="32"/>
      <c r="F110" s="4"/>
      <c r="G110" s="4"/>
      <c r="H110" s="4"/>
      <c r="I110" s="3"/>
      <c r="M110" s="3" t="str">
        <f t="shared" si="5"/>
        <v/>
      </c>
    </row>
    <row r="111" spans="1:42" ht="15">
      <c r="A111" s="6"/>
      <c r="B111" s="3"/>
      <c r="C111" s="31"/>
      <c r="D111" s="33"/>
      <c r="E111" s="32"/>
      <c r="F111" s="4"/>
      <c r="G111" s="4"/>
      <c r="H111" s="4"/>
      <c r="I111" s="3"/>
      <c r="M111" s="3" t="str">
        <f t="shared" si="5"/>
        <v/>
      </c>
    </row>
    <row r="112" spans="1:42" ht="15">
      <c r="A112" s="6"/>
      <c r="B112" s="3"/>
      <c r="C112" s="31"/>
      <c r="D112" s="33"/>
      <c r="E112" s="32"/>
      <c r="F112" s="4"/>
      <c r="G112" s="4"/>
      <c r="H112" s="4"/>
      <c r="I112" s="3"/>
      <c r="M112" s="3" t="str">
        <f t="shared" si="5"/>
        <v/>
      </c>
    </row>
    <row r="113" spans="1:13" ht="15">
      <c r="A113" s="6"/>
      <c r="B113" s="3"/>
      <c r="C113" s="31"/>
      <c r="D113" s="33"/>
      <c r="E113" s="32"/>
      <c r="F113" s="4"/>
      <c r="G113" s="4"/>
      <c r="H113" s="4"/>
      <c r="I113" s="3"/>
      <c r="M113" s="3" t="str">
        <f t="shared" si="5"/>
        <v/>
      </c>
    </row>
    <row r="114" spans="1:13" ht="15">
      <c r="A114" s="6"/>
      <c r="B114" s="3"/>
      <c r="C114" s="31"/>
      <c r="D114" s="33"/>
      <c r="E114" s="32"/>
      <c r="F114" s="4"/>
      <c r="G114" s="4"/>
      <c r="H114" s="4"/>
      <c r="I114" s="3"/>
      <c r="M114" s="3" t="str">
        <f t="shared" si="5"/>
        <v/>
      </c>
    </row>
    <row r="115" spans="1:13" ht="15">
      <c r="A115" s="6"/>
      <c r="B115" s="3"/>
      <c r="C115" s="31"/>
      <c r="D115" s="33"/>
      <c r="E115" s="32"/>
      <c r="F115" s="4"/>
      <c r="G115" s="4"/>
      <c r="H115" s="4"/>
      <c r="I115" s="3"/>
      <c r="M115" s="3" t="str">
        <f t="shared" si="5"/>
        <v/>
      </c>
    </row>
    <row r="116" spans="1:13" ht="15">
      <c r="A116" s="6"/>
      <c r="B116" s="3"/>
      <c r="C116" s="31"/>
      <c r="D116" s="33"/>
      <c r="E116" s="32"/>
      <c r="F116" s="4"/>
      <c r="G116" s="4"/>
      <c r="H116" s="4"/>
      <c r="I116" s="3"/>
      <c r="M116" s="3" t="str">
        <f t="shared" si="5"/>
        <v/>
      </c>
    </row>
    <row r="117" spans="1:13" ht="15">
      <c r="A117" s="6"/>
      <c r="B117" s="3"/>
      <c r="C117" s="31"/>
      <c r="D117" s="33"/>
      <c r="E117" s="32"/>
      <c r="F117" s="4"/>
      <c r="G117" s="4"/>
      <c r="H117" s="4"/>
      <c r="I117" s="3"/>
      <c r="M117" s="3" t="str">
        <f>IF(E119&lt;&gt;"","UPDATE dbo.CR_MAC SET [CorpID] = '" &amp; $F$4 &amp; "', [Description] = '" &amp; C119 &amp;"' WHERE MAC = '" &amp; E119 &amp; "' IF @@ROWCOUNT = 0 Insert Into dbo.CR_MAC ([CorpID], [MAC], [Description]) Values ('" &amp; $F$4 &amp; "', '" &amp; E119 &amp; "', '" &amp; C119 &amp; "')","")</f>
        <v/>
      </c>
    </row>
    <row r="118" spans="1:13" ht="15">
      <c r="A118" s="6"/>
      <c r="B118" s="3"/>
      <c r="C118" s="31"/>
      <c r="D118" s="33"/>
      <c r="E118" s="32"/>
      <c r="F118" s="4"/>
      <c r="G118" s="4"/>
      <c r="H118" s="4"/>
      <c r="I118" s="3"/>
      <c r="M118" s="3" t="str">
        <f>IF(E120&lt;&gt;"","UPDATE dbo.CR_MAC SET [CorpID] = '" &amp; $F$4 &amp; "', [Description] = '" &amp; C120 &amp;"' WHERE MAC = '" &amp; E120 &amp; "' IF @@ROWCOUNT = 0 Insert Into dbo.CR_MAC ([CorpID], [MAC], [Description]) Values ('" &amp; $F$4 &amp; "', '" &amp; E120 &amp; "', '" &amp; C120 &amp; "')","")</f>
        <v/>
      </c>
    </row>
    <row r="119" spans="1:13">
      <c r="A119" s="6"/>
      <c r="B119" s="3"/>
      <c r="C119" s="5"/>
      <c r="D119" s="5"/>
      <c r="E119" s="32"/>
      <c r="F119" s="4"/>
      <c r="G119" s="4"/>
      <c r="H119" s="4"/>
      <c r="I119" s="3"/>
    </row>
    <row r="120" spans="1:13">
      <c r="A120" s="6"/>
      <c r="B120" s="3"/>
      <c r="C120" s="4"/>
      <c r="D120" s="4"/>
      <c r="E120" s="3"/>
      <c r="F120" s="4"/>
      <c r="G120" s="4"/>
      <c r="H120" s="4"/>
      <c r="I120" s="3"/>
      <c r="M120" s="3" t="str">
        <f>IF(Q8&lt;&gt;"","UPDATE dbo.CR_MAC SET [CorpID] = '" &amp; $F$4 &amp; "', [Description] = '" &amp; C7 &amp;"' WHERE MAC = '" &amp; Q8 &amp; "' IF @@ROWCOUNT = 0 Insert Into dbo.CR_MAC ([CorpID], [MAC], [Description]) Values ('" &amp; $F$4 &amp; "', '" &amp; Q8 &amp; "', '" &amp; C7 &amp; "')","")</f>
        <v>UPDATE dbo.CR_MAC SET [CorpID] = '6686', [Description] = 'Transaction Server 1' WHERE MAC = '300ED5369CB6' IF @@ROWCOUNT = 0 Insert Into dbo.CR_MAC ([CorpID], [MAC], [Description]) Values ('6686', '300ED5369CB6', 'Transaction Server 1')</v>
      </c>
    </row>
    <row r="121" spans="1:13">
      <c r="A121" s="6"/>
      <c r="B121" s="3"/>
      <c r="C121" s="3"/>
      <c r="D121" s="3"/>
      <c r="E121" s="3"/>
      <c r="F121" s="3"/>
      <c r="G121" s="3"/>
      <c r="H121" s="3"/>
      <c r="I121" s="3"/>
      <c r="M121" s="3" t="str">
        <f>IF(R8&lt;&gt;"","UPDATE dbo.CR_MAC SET [CorpID] = '" &amp; $F$4 &amp; "', [Description] = '" &amp; E7 &amp;"' WHERE MAC = '" &amp; R8 &amp; "' IF @@ROWCOUNT = 0 Insert Into dbo.CR_MAC ([CorpID], [MAC], [Description]) Values ('" &amp; $F$4 &amp; "', '" &amp; R8 &amp; "', '" &amp; E7 &amp; "')","")</f>
        <v>UPDATE dbo.CR_MAC SET [CorpID] = '6686', [Description] = 'Transaction Server 2' WHERE MAC = '300ED53A8823' IF @@ROWCOUNT = 0 Insert Into dbo.CR_MAC ([CorpID], [MAC], [Description]) Values ('6686', '300ED53A8823', 'Transaction Server 2')</v>
      </c>
    </row>
    <row r="122" spans="1:13">
      <c r="A122" s="6"/>
      <c r="B122" s="3"/>
      <c r="C122" s="3"/>
      <c r="D122" s="3"/>
      <c r="E122" s="3"/>
      <c r="F122" s="3"/>
      <c r="G122" s="3"/>
      <c r="H122" s="3"/>
      <c r="I122" s="3"/>
      <c r="M122" s="3" t="str">
        <f>IF(S8&lt;&gt;"","UPDATE dbo.CR_MAC SET [CorpID] = '" &amp; $F$4 &amp; "', [Description] = '" &amp; C9 &amp;"' WHERE MAC = '" &amp; S8 &amp; "' IF @@ROWCOUNT = 0 Insert Into dbo.CR_MAC ([CorpID], [MAC], [Description]) Values ('" &amp; $F$4 &amp; "', '" &amp; S8 &amp; "', '" &amp; C9 &amp; "')","")</f>
        <v>UPDATE dbo.CR_MAC SET [CorpID] = '6686', [Description] = 'Email Proxy' WHERE MAC = 'EMAIL1234567' IF @@ROWCOUNT = 0 Insert Into dbo.CR_MAC ([CorpID], [MAC], [Description]) Values ('6686', 'EMAIL1234567', 'Email Proxy')</v>
      </c>
    </row>
    <row r="123" spans="1:13">
      <c r="A123" s="6"/>
      <c r="B123" s="3"/>
      <c r="C123" s="3"/>
      <c r="D123" s="3"/>
      <c r="E123" s="3"/>
      <c r="F123" s="3"/>
      <c r="G123" s="3"/>
      <c r="H123" s="3"/>
      <c r="I123" s="3"/>
      <c r="M123" s="3" t="str">
        <f>IF(T8&lt;&gt;"","UPDATE dbo.CR_MAC SET [CorpID] = '" &amp; $F$4 &amp; "', [Description] = '" &amp; E9 &amp;"' WHERE MAC = '" &amp; T8 &amp; "' IF @@ROWCOUNT = 0 Insert Into dbo.CR_MAC ([CorpID], [MAC], [Description]) Values ('" &amp; $F$4 &amp; "', '" &amp; T8 &amp; "', '" &amp; E9 &amp; "')","")</f>
        <v>UPDATE dbo.CR_MAC SET [CorpID] = '6686', [Description] = 'GA Proxy' WHERE MAC = 'GAPROXY12345' IF @@ROWCOUNT = 0 Insert Into dbo.CR_MAC ([CorpID], [MAC], [Description]) Values ('6686', 'GAPROXY12345', 'GA Proxy')</v>
      </c>
    </row>
    <row r="124" spans="1:13">
      <c r="A124" s="6"/>
      <c r="B124" s="3"/>
      <c r="C124" s="3"/>
      <c r="D124" s="3"/>
      <c r="E124" s="3"/>
      <c r="F124" s="3"/>
      <c r="G124" s="3"/>
      <c r="H124" s="3"/>
      <c r="I124" s="3"/>
      <c r="M124" s="3" t="str">
        <f>IF(U8&lt;&gt;"","UPDATE dbo.CR_MAC SET [CorpID] = '" &amp; $F$4 &amp; "', [Description] = '" &amp; C12 &amp;"' WHERE MAC = '" &amp; U8 &amp; "' IF @@ROWCOUNT = 0 Insert Into dbo.CR_MAC ([CorpID], [MAC], [Description]) Values ('" &amp; $F$4 &amp; "', '" &amp; U8 &amp; "', '" &amp; C12 &amp; "')","")</f>
        <v>UPDATE dbo.CR_MAC SET [CorpID] = '6686', [Description] = 'POS 1' WHERE MAC = '843A5B902652' IF @@ROWCOUNT = 0 Insert Into dbo.CR_MAC ([CorpID], [MAC], [Description]) Values ('6686', '843A5B902652', 'POS 1')</v>
      </c>
    </row>
    <row r="125" spans="1:13">
      <c r="A125" s="6"/>
      <c r="B125" s="3"/>
      <c r="C125" s="3"/>
      <c r="D125" s="3"/>
      <c r="E125" s="3"/>
      <c r="F125" s="3"/>
      <c r="G125" s="3"/>
      <c r="H125" s="3"/>
      <c r="I125" s="3"/>
      <c r="M125" s="3" t="str">
        <f>IF(V8&lt;&gt;"","UPDATE dbo.CR_MAC SET [CorpID] = '" &amp; $F$4 &amp; "', [Description] = '" &amp; C13 &amp;"' WHERE MAC = '" &amp; V8 &amp; "' IF @@ROWCOUNT = 0 Insert Into dbo.CR_MAC ([CorpID], [MAC], [Description]) Values ('" &amp; $F$4 &amp; "', '" &amp; V8 &amp; "', '" &amp; C13 &amp; "')","")</f>
        <v>UPDATE dbo.CR_MAC SET [CorpID] = '6686', [Description] = 'POS 2' WHERE MAC = '843A5B905674' IF @@ROWCOUNT = 0 Insert Into dbo.CR_MAC ([CorpID], [MAC], [Description]) Values ('6686', '843A5B905674', 'POS 2')</v>
      </c>
    </row>
    <row r="126" spans="1:13">
      <c r="A126" s="6"/>
      <c r="B126" s="3"/>
      <c r="C126" s="3"/>
      <c r="D126" s="3"/>
      <c r="E126" s="3"/>
      <c r="F126" s="3"/>
      <c r="G126" s="3"/>
      <c r="H126" s="3"/>
      <c r="I126" s="3"/>
      <c r="M126" s="3" t="str">
        <f>IF(W8&lt;&gt;"","UPDATE dbo.CR_MAC SET [CorpID] = '" &amp; $F$4 &amp; "', [Description] = '" &amp; C14 &amp;"' WHERE MAC = '" &amp; W8 &amp; "' IF @@ROWCOUNT = 0 Insert Into dbo.CR_MAC ([CorpID], [MAC], [Description]) Values ('" &amp; $F$4 &amp; "', '" &amp; W8 &amp; "', '" &amp; C14 &amp; "')","")</f>
        <v>UPDATE dbo.CR_MAC SET [CorpID] = '6686', [Description] = 'POS 3' WHERE MAC = '843A5B9046E6' IF @@ROWCOUNT = 0 Insert Into dbo.CR_MAC ([CorpID], [MAC], [Description]) Values ('6686', '843A5B9046E6', 'POS 3')</v>
      </c>
    </row>
    <row r="127" spans="1:13">
      <c r="A127" s="6"/>
      <c r="B127" s="3"/>
      <c r="C127" s="3"/>
      <c r="D127" s="3"/>
      <c r="E127" s="3"/>
      <c r="F127" s="3"/>
      <c r="G127" s="3"/>
      <c r="H127" s="3"/>
      <c r="I127" s="3"/>
      <c r="M127" s="3" t="str">
        <f>IF(X8&lt;&gt;"","UPDATE dbo.CR_MAC SET [CorpID] = '" &amp; $F$4 &amp; "', [Description] = '" &amp; C15 &amp;"' WHERE MAC = '" &amp; X8 &amp; "' IF @@ROWCOUNT = 0 Insert Into dbo.CR_MAC ([CorpID], [MAC], [Description]) Values ('" &amp; $F$4 &amp; "', '" &amp; X8 &amp; "', '" &amp; C15 &amp; "')","")</f>
        <v/>
      </c>
    </row>
    <row r="128" spans="1:13">
      <c r="A128" s="6"/>
      <c r="B128" s="3"/>
      <c r="C128" s="3"/>
      <c r="D128" s="3"/>
      <c r="E128" s="3"/>
      <c r="F128" s="3"/>
      <c r="G128" s="3"/>
      <c r="H128" s="3"/>
      <c r="I128" s="3"/>
      <c r="M128" s="3" t="str">
        <f>IF(Y8&lt;&gt;"","UPDATE dbo.CR_MAC SET [CorpID] = '" &amp; $F$4 &amp; "', [Description] = '" &amp; C16 &amp;"' WHERE MAC = '" &amp; Y8 &amp; "' IF @@ROWCOUNT = 0 Insert Into dbo.CR_MAC ([CorpID], [MAC], [Description]) Values ('" &amp; $F$4 &amp; "', '" &amp; Y8 &amp; "', '" &amp; C16 &amp; "')","")</f>
        <v/>
      </c>
    </row>
    <row r="129" spans="1:13">
      <c r="A129" s="6"/>
      <c r="B129" s="3"/>
      <c r="C129" s="3"/>
      <c r="D129" s="3"/>
      <c r="E129" s="3"/>
      <c r="F129" s="3"/>
      <c r="G129" s="3"/>
      <c r="H129" s="3"/>
      <c r="I129" s="3"/>
      <c r="M129" s="3" t="str">
        <f>IF(Z8&lt;&gt;"","UPDATE dbo.CR_MAC SET [CorpID] = '" &amp; $F$4 &amp; "', [Description] = '" &amp; C17 &amp;"' WHERE MAC = '" &amp; Z8 &amp; "' IF @@ROWCOUNT = 0 Insert Into dbo.CR_MAC ([CorpID], [MAC], [Description]) Values ('" &amp; $F$4 &amp; "', '" &amp; Z8 &amp; "', '" &amp; C17 &amp; "')","")</f>
        <v/>
      </c>
    </row>
    <row r="130" spans="1:13">
      <c r="A130" s="6"/>
      <c r="B130" s="3"/>
      <c r="C130" s="3"/>
      <c r="D130" s="3"/>
      <c r="E130" s="3"/>
      <c r="F130" s="3"/>
      <c r="G130" s="3"/>
      <c r="H130" s="3"/>
      <c r="I130" s="3"/>
      <c r="M130" s="3" t="str">
        <f>IF(AA8&lt;&gt;"","UPDATE dbo.CR_MAC SET [CorpID] = '" &amp; $F$4 &amp; "', [Description] = '" &amp; C18 &amp;"' WHERE MAC = '" &amp; AA8 &amp; "' IF @@ROWCOUNT = 0 Insert Into dbo.CR_MAC ([CorpID], [MAC], [Description]) Values ('" &amp; $F$4 &amp; "', '" &amp; AA8 &amp; "', '" &amp; C18 &amp; "')","")</f>
        <v/>
      </c>
    </row>
    <row r="131" spans="1:13">
      <c r="A131" s="6"/>
      <c r="B131" s="3"/>
      <c r="C131" s="3"/>
      <c r="D131" s="3"/>
      <c r="E131" s="3"/>
      <c r="F131" s="3"/>
      <c r="G131" s="3"/>
      <c r="H131" s="3"/>
      <c r="I131" s="3"/>
      <c r="M131" s="3" t="str">
        <f>IF(AB8&lt;&gt;"","UPDATE dbo.CR_MAC SET [CorpID] = '" &amp; $F$4 &amp; "', [Description] = '" &amp; C19 &amp;"' WHERE MAC = '" &amp; AB8 &amp; "' IF @@ROWCOUNT = 0 Insert Into dbo.CR_MAC ([CorpID], [MAC], [Description]) Values ('" &amp; $F$4 &amp; "', '" &amp; AB8 &amp; "', '" &amp; C19 &amp; "')","")</f>
        <v/>
      </c>
    </row>
    <row r="132" spans="1:13">
      <c r="A132" s="6"/>
      <c r="B132" s="3"/>
      <c r="C132" s="3"/>
      <c r="D132" s="3"/>
      <c r="E132" s="3"/>
      <c r="F132" s="3"/>
      <c r="G132" s="3"/>
      <c r="H132" s="3"/>
      <c r="I132" s="3"/>
      <c r="M132" s="3" t="str">
        <f>IF(AC8&lt;&gt;"","UPDATE dbo.CR_MAC SET [CorpID] = '" &amp; $F$4 &amp; "', [Description] = '" &amp; E12 &amp;"' WHERE MAC = '" &amp; AC8 &amp; "' IF @@ROWCOUNT = 0 Insert Into dbo.CR_MAC ([CorpID], [MAC], [Description]) Values ('" &amp; $F$4 &amp; "', '" &amp; AC8 &amp; "', '" &amp; E12 &amp; "')","")</f>
        <v>UPDATE dbo.CR_MAC SET [CorpID] = '6686', [Description] = 'Teller 1' WHERE MAC = '0040B38CC29D' IF @@ROWCOUNT = 0 Insert Into dbo.CR_MAC ([CorpID], [MAC], [Description]) Values ('6686', '0040B38CC29D', 'Teller 1')</v>
      </c>
    </row>
    <row r="133" spans="1:13">
      <c r="A133" s="6"/>
      <c r="B133" s="3"/>
      <c r="C133" s="3"/>
      <c r="D133" s="3"/>
      <c r="E133" s="3"/>
      <c r="F133" s="3"/>
      <c r="G133" s="3"/>
      <c r="H133" s="3"/>
      <c r="I133" s="3"/>
      <c r="M133" s="3" t="str">
        <f>IF(AD8&lt;&gt;"","UPDATE dbo.CR_MAC SET [CorpID] = '" &amp; $F$4 &amp; "', [Description] = '" &amp; E13 &amp;"' WHERE MAC = '" &amp; AD8 &amp; "' IF @@ROWCOUNT = 0 Insert Into dbo.CR_MAC ([CorpID], [MAC], [Description]) Values ('" &amp; $F$4 &amp; "', '" &amp; AD8 &amp; "', '" &amp; E13 &amp; "')","")</f>
        <v>UPDATE dbo.CR_MAC SET [CorpID] = '6686', [Description] = 'Teller 2' WHERE MAC = '0040B38C0B3E' IF @@ROWCOUNT = 0 Insert Into dbo.CR_MAC ([CorpID], [MAC], [Description]) Values ('6686', '0040B38C0B3E', 'Teller 2')</v>
      </c>
    </row>
    <row r="134" spans="1:13">
      <c r="A134" s="6"/>
      <c r="B134" s="3"/>
      <c r="C134" s="3"/>
      <c r="D134" s="3"/>
      <c r="E134" s="3"/>
      <c r="F134" s="3"/>
      <c r="G134" s="3"/>
      <c r="H134" s="3"/>
      <c r="I134" s="3"/>
      <c r="M134" s="3" t="str">
        <f>IF(AE8&lt;&gt;"","UPDATE dbo.CR_MAC SET [CorpID] = '" &amp; $F$4 &amp; "', [Description] = '" &amp; E14 &amp;"' WHERE MAC = '" &amp; AE8 &amp; "' IF @@ROWCOUNT = 0 Insert Into dbo.CR_MAC ([CorpID], [MAC], [Description]) Values ('" &amp; $F$4 &amp; "', '" &amp; AE8 &amp; "', '" &amp; E14 &amp; "')","")</f>
        <v/>
      </c>
    </row>
    <row r="135" spans="1:13">
      <c r="A135" s="6"/>
      <c r="B135" s="3"/>
      <c r="C135" s="3"/>
      <c r="D135" s="3"/>
      <c r="E135" s="3"/>
      <c r="F135" s="3"/>
      <c r="G135" s="3"/>
      <c r="H135" s="3"/>
      <c r="I135" s="3"/>
      <c r="M135" s="3" t="str">
        <f>IF(AF8&lt;&gt;"","UPDATE dbo.CR_MAC SET [CorpID] = '" &amp; $F$4 &amp; "', [Description] = '" &amp; E15 &amp;"' WHERE MAC = '" &amp; AF8 &amp; "' IF @@ROWCOUNT = 0 Insert Into dbo.CR_MAC ([CorpID], [MAC], [Description]) Values ('" &amp; $F$4 &amp; "', '" &amp; AF8 &amp; "', '" &amp; E15 &amp; "')","")</f>
        <v/>
      </c>
    </row>
    <row r="136" spans="1:13">
      <c r="A136" s="6"/>
      <c r="B136" s="3"/>
      <c r="C136" s="3"/>
      <c r="D136" s="3"/>
      <c r="E136" s="3"/>
      <c r="F136" s="3"/>
      <c r="G136" s="3"/>
      <c r="H136" s="3"/>
      <c r="I136" s="3"/>
      <c r="M136" s="3" t="str">
        <f>IF(AG8&lt;&gt;"","UPDATE dbo.CR_MAC SET [CorpID] = '" &amp; $F$4 &amp; "', [Description] = '" &amp; E16 &amp;"' WHERE MAC = '" &amp; AG8 &amp; "' IF @@ROWCOUNT = 0 Insert Into dbo.CR_MAC ([CorpID], [MAC], [Description]) Values ('" &amp; $F$4 &amp; "', '" &amp; AG8 &amp; "', '" &amp; E16 &amp; "')","")</f>
        <v/>
      </c>
    </row>
    <row r="137" spans="1:13">
      <c r="A137" s="6"/>
      <c r="B137" s="3"/>
      <c r="C137" s="3"/>
      <c r="D137" s="3"/>
      <c r="E137" s="3"/>
      <c r="F137" s="3"/>
      <c r="G137" s="3"/>
      <c r="H137" s="3"/>
      <c r="I137" s="3"/>
      <c r="M137" s="3" t="str">
        <f>IF(AH8&lt;&gt;"","UPDATE dbo.CR_MAC SET [CorpID] = '" &amp; $F$4 &amp; "', [Description] = '" &amp; E17 &amp;"' WHERE MAC = '" &amp; AH8 &amp; "' IF @@ROWCOUNT = 0 Insert Into dbo.CR_MAC ([CorpID], [MAC], [Description]) Values ('" &amp; $F$4 &amp; "', '" &amp; AH8 &amp; "', '" &amp; E17 &amp; "')","")</f>
        <v/>
      </c>
    </row>
    <row r="138" spans="1:13">
      <c r="A138" s="6"/>
      <c r="B138" s="3"/>
      <c r="C138" s="3"/>
      <c r="D138" s="3"/>
      <c r="E138" s="3"/>
      <c r="F138" s="3"/>
      <c r="G138" s="3"/>
      <c r="H138" s="3"/>
      <c r="I138" s="3"/>
      <c r="M138" s="3" t="str">
        <f>IF(AI8&lt;&gt;"","UPDATE dbo.CR_MAC SET [CorpID] = '" &amp; $F$4 &amp; "', [Description] = '" &amp; E18 &amp;"' WHERE MAC = '" &amp; AI8 &amp; "' IF @@ROWCOUNT = 0 Insert Into dbo.CR_MAC ([CorpID], [MAC], [Description]) Values ('" &amp; $F$4 &amp; "', '" &amp; AI8 &amp; "', '" &amp; E18 &amp; "')","")</f>
        <v/>
      </c>
    </row>
    <row r="139" spans="1:13">
      <c r="A139" s="6"/>
      <c r="B139" s="3"/>
      <c r="C139" s="3"/>
      <c r="D139" s="3"/>
      <c r="E139" s="3"/>
      <c r="F139" s="3"/>
      <c r="G139" s="3"/>
      <c r="H139" s="3"/>
      <c r="I139" s="3"/>
      <c r="M139" s="3" t="str">
        <f>IF(AJ8&lt;&gt;"","UPDATE dbo.CR_MAC SET [CorpID] = '" &amp; $F$4 &amp; "', [Description] = '" &amp; E19 &amp;"' WHERE MAC = '" &amp; AJ8 &amp; "' IF @@ROWCOUNT = 0 Insert Into dbo.CR_MAC ([CorpID], [MAC], [Description]) Values ('" &amp; $F$4 &amp; "', '" &amp; AJ8 &amp; "', '" &amp; E19 &amp; "')","")</f>
        <v/>
      </c>
    </row>
    <row r="140" spans="1:13">
      <c r="A140" s="6"/>
      <c r="B140" s="3"/>
      <c r="C140" s="3"/>
      <c r="D140" s="3"/>
      <c r="E140" s="3"/>
      <c r="F140" s="3"/>
      <c r="G140" s="3"/>
      <c r="H140" s="3"/>
      <c r="I140" s="3"/>
      <c r="M140" s="3" t="str">
        <f>IF(AK8&lt;&gt;"","UPDATE dbo.CR_MAC SET [CorpID] = '" &amp; $F$4 &amp; "', [Description] = '" &amp; H13 &amp;"' WHERE MAC = '" &amp; AK8 &amp; "' IF @@ROWCOUNT = 0 Insert Into dbo.CR_MAC ([CorpID], [MAC], [Description]) Values ('" &amp; $F$4 &amp; "', '" &amp; AK8 &amp; "', '" &amp; H13 &amp; "')","")</f>
        <v>UPDATE dbo.CR_MAC SET [CorpID] = '6686', [Description] = 'Owner Laptop' WHERE MAC = '300ED52924AA' IF @@ROWCOUNT = 0 Insert Into dbo.CR_MAC ([CorpID], [MAC], [Description]) Values ('6686', '300ED52924AA', 'Owner Laptop')</v>
      </c>
    </row>
    <row r="141" spans="1:13">
      <c r="A141" s="6"/>
      <c r="B141" s="3"/>
      <c r="C141" s="3"/>
      <c r="D141" s="3"/>
      <c r="E141" s="3"/>
      <c r="F141" s="3"/>
      <c r="G141" s="3"/>
      <c r="H141" s="3"/>
      <c r="I141" s="3"/>
      <c r="M141" s="3" t="str">
        <f>IF(AL8&lt;&gt;"","UPDATE dbo.CR_MAC SET [CorpID] = '" &amp; $F$4 &amp; "', [Description] = '" &amp; H14 &amp;"' WHERE MAC = '" &amp; AL8 &amp; "' IF @@ROWCOUNT = 0 Insert Into dbo.CR_MAC ([CorpID], [MAC], [Description]) Values ('" &amp; $F$4 &amp; "', '" &amp; AL8 &amp; "', '" &amp; H14 &amp; "')","")</f>
        <v>UPDATE dbo.CR_MAC SET [CorpID] = '6686', [Description] = 'Tech PC' WHERE MAC = '300ED52924BC' IF @@ROWCOUNT = 0 Insert Into dbo.CR_MAC ([CorpID], [MAC], [Description]) Values ('6686', '300ED52924BC', 'Tech PC')</v>
      </c>
    </row>
    <row r="142" spans="1:13">
      <c r="A142" s="6"/>
      <c r="B142" s="3"/>
      <c r="C142" s="3"/>
      <c r="D142" s="3"/>
      <c r="E142" s="3"/>
      <c r="F142" s="3"/>
      <c r="G142" s="3"/>
      <c r="H142" s="3"/>
      <c r="I142" s="3"/>
      <c r="M142" s="3" t="str">
        <f>IF(AM8&lt;&gt;"","UPDATE dbo.CR_MAC SET [CorpID] = '" &amp; $F$4 &amp; "', [Description] = '" &amp; H16 &amp;"' WHERE MAC = '" &amp; AM8 &amp; "' IF @@ROWCOUNT = 0 Insert Into dbo.CR_MAC ([CorpID], [MAC], [Description]) Values ('" &amp; $F$4 &amp; "', '" &amp; AM8 &amp; "', '" &amp; H16 &amp; "')","")</f>
        <v/>
      </c>
    </row>
    <row r="143" spans="1:13">
      <c r="A143" s="6"/>
      <c r="B143" s="3"/>
      <c r="C143" s="3"/>
      <c r="D143" s="3"/>
      <c r="E143" s="3"/>
      <c r="F143" s="3"/>
      <c r="G143" s="3"/>
      <c r="H143" s="3"/>
      <c r="I143" s="3"/>
      <c r="M143" s="3" t="str">
        <f>IF(AN8&lt;&gt;"","UPDATE dbo.CR_MAC SET [CorpID] = '" &amp; $F$4 &amp; "', [Description] = '" &amp; H17 &amp;"' WHERE MAC = '" &amp; AN8 &amp; "' IF @@ROWCOUNT = 0 Insert Into dbo.CR_MAC ([CorpID], [MAC], [Description]) Values ('" &amp; $F$4 &amp; "', '" &amp; AN8 &amp; "', '" &amp; H17 &amp; "')","")</f>
        <v/>
      </c>
    </row>
    <row r="144" spans="1:13">
      <c r="A144" s="6"/>
      <c r="B144" s="3"/>
      <c r="C144" s="3"/>
      <c r="D144" s="3"/>
      <c r="E144" s="3"/>
      <c r="F144" s="3"/>
      <c r="G144" s="3"/>
      <c r="H144" s="3"/>
      <c r="I144" s="3"/>
      <c r="M144" s="3" t="str">
        <f>IF(AO8&lt;&gt;"","UPDATE dbo.CR_MAC SET [CorpID] = '" &amp; $F$4 &amp; "', [Description] = '" &amp; H18 &amp;"' WHERE MAC = '" &amp; AO8 &amp; "' IF @@ROWCOUNT = 0 Insert Into dbo.CR_MAC ([CorpID], [MAC], [Description]) Values ('" &amp; $F$4 &amp; "', '" &amp; AO8 &amp; "', '" &amp; H18 &amp; "')","")</f>
        <v/>
      </c>
    </row>
    <row r="145" spans="1:9">
      <c r="A145" s="6"/>
      <c r="B145" s="3"/>
      <c r="C145" s="3"/>
      <c r="D145" s="3"/>
      <c r="E145" s="3"/>
      <c r="F145" s="3"/>
      <c r="G145" s="3"/>
      <c r="H145" s="3"/>
      <c r="I145" s="3"/>
    </row>
    <row r="146" spans="1:9">
      <c r="A146" s="6"/>
      <c r="B146" s="3"/>
      <c r="C146" s="3"/>
      <c r="D146" s="3"/>
      <c r="E146" s="3"/>
      <c r="F146" s="3"/>
      <c r="G146" s="3"/>
      <c r="H146" s="3"/>
      <c r="I146" s="3"/>
    </row>
    <row r="147" spans="1:9">
      <c r="A147" s="6"/>
      <c r="B147" s="3"/>
      <c r="C147" s="3"/>
      <c r="D147" s="3"/>
      <c r="E147" s="3"/>
      <c r="F147" s="3"/>
      <c r="G147" s="3"/>
      <c r="H147" s="3"/>
      <c r="I147" s="3"/>
    </row>
    <row r="148" spans="1:9">
      <c r="A148" s="6"/>
      <c r="B148" s="3"/>
      <c r="C148" s="3"/>
      <c r="D148" s="3"/>
      <c r="E148" s="3"/>
      <c r="F148" s="3"/>
      <c r="G148" s="3"/>
      <c r="H148" s="3"/>
      <c r="I148" s="3"/>
    </row>
    <row r="149" spans="1:9">
      <c r="A149" s="6"/>
      <c r="B149" s="3"/>
      <c r="C149" s="3"/>
      <c r="D149" s="3"/>
      <c r="E149" s="3"/>
      <c r="F149" s="3"/>
      <c r="G149" s="3"/>
      <c r="H149" s="3"/>
      <c r="I149" s="3"/>
    </row>
    <row r="150" spans="1:9">
      <c r="A150" s="6"/>
      <c r="B150" s="3"/>
      <c r="C150" s="3"/>
      <c r="D150" s="3"/>
      <c r="E150" s="3"/>
      <c r="F150" s="3"/>
      <c r="G150" s="3"/>
      <c r="H150" s="3"/>
      <c r="I150" s="3"/>
    </row>
    <row r="151" spans="1:9">
      <c r="A151" s="6"/>
      <c r="B151" s="3"/>
      <c r="C151" s="3"/>
      <c r="D151" s="3"/>
      <c r="E151" s="3"/>
      <c r="F151" s="3"/>
      <c r="G151" s="3"/>
      <c r="H151" s="3"/>
      <c r="I151" s="3"/>
    </row>
    <row r="152" spans="1:9">
      <c r="A152" s="6"/>
      <c r="B152" s="3"/>
      <c r="C152" s="3"/>
      <c r="D152" s="3"/>
      <c r="E152" s="3"/>
      <c r="F152" s="3"/>
      <c r="G152" s="3"/>
      <c r="H152" s="3"/>
      <c r="I152" s="3"/>
    </row>
    <row r="153" spans="1:9">
      <c r="A153" s="6"/>
      <c r="B153" s="3"/>
      <c r="C153" s="3"/>
      <c r="D153" s="3"/>
      <c r="E153" s="3"/>
      <c r="F153" s="3"/>
      <c r="G153" s="3"/>
      <c r="H153" s="3"/>
      <c r="I153" s="3"/>
    </row>
    <row r="154" spans="1:9">
      <c r="A154" s="6"/>
      <c r="B154" s="3"/>
      <c r="C154" s="3"/>
      <c r="D154" s="3"/>
      <c r="E154" s="3"/>
      <c r="F154" s="3"/>
      <c r="G154" s="3"/>
      <c r="H154" s="3"/>
      <c r="I154" s="3"/>
    </row>
    <row r="155" spans="1:9">
      <c r="A155" s="6"/>
      <c r="B155" s="3"/>
      <c r="C155" s="3"/>
      <c r="D155" s="3"/>
      <c r="E155" s="3"/>
      <c r="F155" s="3"/>
      <c r="G155" s="3"/>
      <c r="H155" s="3"/>
      <c r="I155" s="3"/>
    </row>
    <row r="156" spans="1:9">
      <c r="A156" s="6"/>
      <c r="B156" s="3"/>
      <c r="C156" s="3"/>
      <c r="D156" s="3"/>
      <c r="E156" s="3"/>
      <c r="F156" s="3"/>
      <c r="G156" s="3"/>
      <c r="H156" s="3"/>
      <c r="I156" s="3"/>
    </row>
    <row r="157" spans="1:9">
      <c r="A157" s="6"/>
      <c r="B157" s="3"/>
      <c r="C157" s="3"/>
      <c r="D157" s="3"/>
      <c r="E157" s="3"/>
      <c r="F157" s="3"/>
      <c r="G157" s="3"/>
      <c r="H157" s="3"/>
      <c r="I157" s="3"/>
    </row>
    <row r="158" spans="1:9">
      <c r="A158" s="6"/>
      <c r="B158" s="3"/>
      <c r="C158" s="3"/>
      <c r="D158" s="3"/>
      <c r="E158" s="3"/>
      <c r="F158" s="3"/>
      <c r="G158" s="3"/>
      <c r="H158" s="3"/>
      <c r="I158" s="3"/>
    </row>
    <row r="159" spans="1:9">
      <c r="A159" s="6"/>
      <c r="B159" s="3"/>
      <c r="C159" s="3"/>
      <c r="D159" s="3"/>
      <c r="E159" s="3"/>
      <c r="F159" s="3"/>
      <c r="G159" s="3"/>
      <c r="H159" s="3"/>
      <c r="I159" s="3"/>
    </row>
    <row r="160" spans="1:9">
      <c r="A160" s="6"/>
      <c r="B160" s="3"/>
      <c r="C160" s="3"/>
      <c r="D160" s="3"/>
      <c r="E160" s="3"/>
      <c r="F160" s="3"/>
      <c r="G160" s="3"/>
      <c r="H160" s="3"/>
      <c r="I160" s="3"/>
    </row>
    <row r="161" spans="1:9">
      <c r="A161" s="6"/>
      <c r="B161" s="3"/>
      <c r="C161" s="3"/>
      <c r="D161" s="3"/>
      <c r="E161" s="3"/>
      <c r="F161" s="3"/>
      <c r="G161" s="3"/>
      <c r="H161" s="3"/>
      <c r="I161" s="3"/>
    </row>
    <row r="162" spans="1:9">
      <c r="A162" s="6"/>
      <c r="B162" s="3"/>
      <c r="C162" s="3"/>
      <c r="D162" s="3"/>
      <c r="E162" s="3"/>
      <c r="F162" s="3"/>
      <c r="G162" s="3"/>
      <c r="H162" s="3"/>
      <c r="I162" s="3"/>
    </row>
    <row r="163" spans="1:9">
      <c r="A163" s="6"/>
      <c r="B163" s="3"/>
      <c r="C163" s="3"/>
      <c r="D163" s="3"/>
      <c r="E163" s="3"/>
      <c r="F163" s="3"/>
      <c r="G163" s="3"/>
      <c r="H163" s="3"/>
      <c r="I163" s="3"/>
    </row>
    <row r="164" spans="1:9">
      <c r="A164" s="6"/>
      <c r="B164" s="3"/>
      <c r="C164" s="3"/>
      <c r="D164" s="3"/>
      <c r="E164" s="3"/>
      <c r="F164" s="3"/>
      <c r="G164" s="3"/>
      <c r="H164" s="3"/>
      <c r="I164" s="3"/>
    </row>
    <row r="165" spans="1:9">
      <c r="A165" s="6"/>
      <c r="B165" s="3"/>
      <c r="C165" s="3"/>
      <c r="D165" s="3"/>
      <c r="E165" s="3"/>
      <c r="F165" s="3"/>
      <c r="G165" s="3"/>
      <c r="H165" s="3"/>
      <c r="I165" s="3"/>
    </row>
    <row r="166" spans="1:9">
      <c r="A166" s="6"/>
      <c r="B166" s="3"/>
      <c r="C166" s="3"/>
      <c r="D166" s="3"/>
      <c r="E166" s="3"/>
      <c r="F166" s="3"/>
      <c r="G166" s="3"/>
      <c r="H166" s="3"/>
      <c r="I166" s="3"/>
    </row>
    <row r="167" spans="1:9">
      <c r="A167" s="6"/>
      <c r="B167" s="3"/>
      <c r="C167" s="3"/>
      <c r="D167" s="3"/>
      <c r="E167" s="3"/>
      <c r="F167" s="3"/>
      <c r="G167" s="3"/>
      <c r="H167" s="3"/>
      <c r="I167" s="3"/>
    </row>
    <row r="168" spans="1:9">
      <c r="A168" s="6"/>
      <c r="B168" s="3"/>
      <c r="C168" s="3"/>
      <c r="D168" s="3"/>
      <c r="E168" s="3"/>
      <c r="F168" s="3"/>
      <c r="G168" s="3"/>
      <c r="H168" s="3"/>
      <c r="I168" s="3"/>
    </row>
    <row r="169" spans="1:9">
      <c r="A169" s="6"/>
      <c r="B169" s="3"/>
      <c r="C169" s="3"/>
      <c r="D169" s="3"/>
      <c r="E169" s="3"/>
      <c r="F169" s="3"/>
      <c r="G169" s="3"/>
      <c r="H169" s="3"/>
      <c r="I169" s="3"/>
    </row>
    <row r="170" spans="1:9">
      <c r="A170" s="6"/>
      <c r="B170" s="3"/>
      <c r="C170" s="3"/>
      <c r="D170" s="3"/>
      <c r="E170" s="3"/>
      <c r="F170" s="3"/>
      <c r="G170" s="3"/>
      <c r="H170" s="3"/>
      <c r="I170" s="3"/>
    </row>
    <row r="171" spans="1:9">
      <c r="A171" s="6"/>
      <c r="B171" s="3"/>
      <c r="C171" s="3"/>
      <c r="D171" s="3"/>
      <c r="E171" s="3"/>
      <c r="F171" s="3"/>
      <c r="G171" s="3"/>
      <c r="H171" s="3"/>
      <c r="I171" s="3"/>
    </row>
    <row r="172" spans="1:9">
      <c r="A172" s="6"/>
      <c r="B172" s="3"/>
      <c r="C172" s="3"/>
      <c r="D172" s="3"/>
      <c r="E172" s="3"/>
      <c r="F172" s="3"/>
      <c r="G172" s="3"/>
      <c r="H172" s="3"/>
      <c r="I172" s="3"/>
    </row>
    <row r="173" spans="1:9">
      <c r="A173" s="6"/>
      <c r="B173" s="3"/>
      <c r="C173" s="3"/>
      <c r="D173" s="3"/>
      <c r="E173" s="3"/>
      <c r="F173" s="3"/>
      <c r="G173" s="3"/>
      <c r="H173" s="3"/>
      <c r="I173" s="3"/>
    </row>
    <row r="174" spans="1:9">
      <c r="A174" s="6"/>
      <c r="B174" s="3"/>
      <c r="C174" s="3"/>
      <c r="D174" s="3"/>
      <c r="E174" s="3"/>
      <c r="F174" s="3"/>
      <c r="G174" s="3"/>
      <c r="H174" s="3"/>
      <c r="I174" s="3"/>
    </row>
    <row r="175" spans="1:9">
      <c r="A175" s="6"/>
      <c r="B175" s="3"/>
      <c r="C175" s="3"/>
      <c r="D175" s="3"/>
      <c r="E175" s="3"/>
      <c r="F175" s="3"/>
      <c r="G175" s="3"/>
      <c r="H175" s="3"/>
      <c r="I175" s="3"/>
    </row>
    <row r="176" spans="1:9">
      <c r="A176" s="6"/>
      <c r="B176" s="3"/>
      <c r="C176" s="3"/>
      <c r="D176" s="3"/>
      <c r="E176" s="3"/>
      <c r="F176" s="3"/>
      <c r="G176" s="3"/>
      <c r="H176" s="3"/>
      <c r="I176" s="3"/>
    </row>
    <row r="177" spans="1:9">
      <c r="A177" s="6"/>
      <c r="B177" s="3"/>
      <c r="C177" s="3"/>
      <c r="D177" s="3"/>
      <c r="E177" s="3"/>
      <c r="F177" s="3"/>
      <c r="G177" s="3"/>
      <c r="H177" s="3"/>
      <c r="I177" s="3"/>
    </row>
    <row r="178" spans="1:9">
      <c r="A178" s="6"/>
      <c r="B178" s="3"/>
      <c r="C178" s="3"/>
      <c r="D178" s="3"/>
      <c r="E178" s="3"/>
      <c r="F178" s="3"/>
      <c r="G178" s="3"/>
      <c r="H178" s="3"/>
      <c r="I178" s="3"/>
    </row>
    <row r="179" spans="1:9">
      <c r="A179" s="6"/>
      <c r="B179" s="3"/>
      <c r="C179" s="3"/>
      <c r="D179" s="3"/>
      <c r="E179" s="3"/>
      <c r="F179" s="3"/>
      <c r="G179" s="3"/>
      <c r="H179" s="3"/>
      <c r="I179" s="3"/>
    </row>
    <row r="180" spans="1:9">
      <c r="A180" s="6"/>
      <c r="B180" s="3"/>
      <c r="C180" s="3"/>
      <c r="D180" s="3"/>
      <c r="E180" s="3"/>
      <c r="F180" s="3"/>
      <c r="G180" s="3"/>
      <c r="H180" s="3"/>
      <c r="I180" s="3"/>
    </row>
    <row r="181" spans="1:9">
      <c r="A181" s="6"/>
      <c r="B181" s="3"/>
      <c r="C181" s="3"/>
      <c r="D181" s="3"/>
      <c r="E181" s="3"/>
      <c r="F181" s="3"/>
      <c r="G181" s="3"/>
      <c r="H181" s="3"/>
      <c r="I181" s="3"/>
    </row>
    <row r="182" spans="1:9">
      <c r="A182" s="6"/>
      <c r="B182" s="3"/>
      <c r="C182" s="3"/>
      <c r="D182" s="3"/>
      <c r="E182" s="3"/>
      <c r="F182" s="3"/>
      <c r="G182" s="3"/>
      <c r="H182" s="3"/>
      <c r="I182" s="3"/>
    </row>
    <row r="183" spans="1:9">
      <c r="A183" s="6"/>
      <c r="B183" s="3"/>
      <c r="C183" s="3"/>
      <c r="D183" s="3"/>
      <c r="E183" s="3"/>
      <c r="F183" s="3"/>
      <c r="G183" s="3"/>
      <c r="H183" s="3"/>
      <c r="I183" s="3"/>
    </row>
    <row r="184" spans="1:9">
      <c r="A184" s="6"/>
      <c r="B184" s="3"/>
      <c r="C184" s="3"/>
      <c r="D184" s="3"/>
      <c r="E184" s="3"/>
      <c r="F184" s="3"/>
      <c r="G184" s="3"/>
      <c r="H184" s="3"/>
      <c r="I184" s="3"/>
    </row>
    <row r="185" spans="1:9">
      <c r="A185" s="6"/>
      <c r="B185" s="3"/>
      <c r="C185" s="3"/>
      <c r="D185" s="3"/>
      <c r="E185" s="3"/>
      <c r="F185" s="3"/>
      <c r="G185" s="3"/>
      <c r="H185" s="3"/>
      <c r="I185" s="3"/>
    </row>
    <row r="186" spans="1:9">
      <c r="A186" s="6"/>
      <c r="B186" s="3"/>
      <c r="C186" s="3"/>
      <c r="D186" s="3"/>
      <c r="E186" s="3"/>
      <c r="F186" s="3"/>
      <c r="G186" s="3"/>
      <c r="H186" s="3"/>
      <c r="I186" s="3"/>
    </row>
    <row r="187" spans="1:9">
      <c r="A187" s="6"/>
      <c r="B187" s="3"/>
      <c r="C187" s="3"/>
      <c r="D187" s="3"/>
      <c r="E187" s="3"/>
      <c r="F187" s="3"/>
      <c r="G187" s="3"/>
      <c r="H187" s="3"/>
      <c r="I187" s="3"/>
    </row>
    <row r="188" spans="1:9">
      <c r="A188" s="6"/>
      <c r="B188" s="3"/>
      <c r="C188" s="3"/>
      <c r="D188" s="3"/>
      <c r="E188" s="3"/>
      <c r="F188" s="3"/>
      <c r="G188" s="3"/>
      <c r="H188" s="3"/>
      <c r="I188" s="3"/>
    </row>
    <row r="189" spans="1:9">
      <c r="A189" s="6"/>
      <c r="B189" s="3"/>
      <c r="C189" s="3"/>
      <c r="D189" s="3"/>
      <c r="E189" s="3"/>
      <c r="F189" s="3"/>
      <c r="G189" s="3"/>
      <c r="H189" s="3"/>
      <c r="I189" s="3"/>
    </row>
    <row r="190" spans="1:9">
      <c r="A190" s="6"/>
      <c r="B190" s="3"/>
      <c r="C190" s="3"/>
      <c r="D190" s="3"/>
      <c r="E190" s="3"/>
      <c r="F190" s="3"/>
      <c r="G190" s="3"/>
      <c r="H190" s="3"/>
      <c r="I190" s="3"/>
    </row>
    <row r="191" spans="1:9">
      <c r="A191" s="6"/>
      <c r="B191" s="3"/>
      <c r="C191" s="3"/>
      <c r="D191" s="3"/>
      <c r="E191" s="3"/>
      <c r="F191" s="3"/>
      <c r="G191" s="3"/>
      <c r="H191" s="3"/>
      <c r="I191" s="3"/>
    </row>
    <row r="192" spans="1:9">
      <c r="A192" s="6"/>
      <c r="B192" s="3"/>
      <c r="C192" s="3"/>
      <c r="D192" s="3"/>
      <c r="E192" s="3"/>
      <c r="F192" s="3"/>
      <c r="G192" s="3"/>
      <c r="H192" s="3"/>
      <c r="I192" s="3"/>
    </row>
    <row r="193" spans="1:13">
      <c r="A193" s="6"/>
      <c r="B193" s="3"/>
      <c r="C193" s="3"/>
      <c r="D193" s="3"/>
      <c r="E193" s="3"/>
      <c r="F193" s="3"/>
      <c r="G193" s="3"/>
      <c r="H193" s="3"/>
      <c r="I193" s="3"/>
    </row>
    <row r="194" spans="1:13">
      <c r="A194" s="6"/>
      <c r="B194" s="3"/>
      <c r="C194" s="3"/>
      <c r="D194" s="3"/>
      <c r="E194" s="3"/>
      <c r="F194" s="3"/>
      <c r="G194" s="3"/>
      <c r="H194" s="3"/>
      <c r="I194" s="3"/>
    </row>
    <row r="195" spans="1:13">
      <c r="A195" s="6"/>
      <c r="B195" s="3"/>
      <c r="C195" s="3"/>
      <c r="D195" s="3"/>
      <c r="E195" s="3"/>
      <c r="F195" s="3"/>
      <c r="G195" s="3"/>
      <c r="H195" s="3"/>
      <c r="I195" s="3"/>
    </row>
    <row r="196" spans="1:13">
      <c r="A196" s="6"/>
      <c r="B196" s="3"/>
      <c r="C196" s="3"/>
      <c r="D196" s="3"/>
      <c r="E196" s="3"/>
      <c r="F196" s="3"/>
      <c r="G196" s="3"/>
      <c r="H196" s="3"/>
      <c r="I196" s="3"/>
    </row>
    <row r="197" spans="1:13">
      <c r="A197" s="6"/>
      <c r="B197" s="3"/>
      <c r="C197" s="3"/>
      <c r="D197" s="3"/>
      <c r="E197" s="3"/>
      <c r="F197" s="3"/>
      <c r="G197" s="3"/>
      <c r="H197" s="3"/>
      <c r="I197" s="3"/>
    </row>
    <row r="198" spans="1:13">
      <c r="A198" s="6"/>
      <c r="B198" s="3"/>
      <c r="C198" s="3"/>
      <c r="D198" s="3"/>
      <c r="E198" s="3"/>
      <c r="F198" s="3"/>
      <c r="G198" s="3"/>
      <c r="H198" s="3"/>
      <c r="I198" s="3"/>
    </row>
    <row r="199" spans="1:13">
      <c r="A199" s="6"/>
      <c r="B199" s="3"/>
      <c r="C199" s="3"/>
      <c r="D199" s="3"/>
      <c r="E199" s="3"/>
      <c r="F199" s="3"/>
      <c r="G199" s="3"/>
      <c r="H199" s="3"/>
      <c r="I199" s="3"/>
    </row>
    <row r="200" spans="1:13">
      <c r="A200" s="6"/>
      <c r="B200" s="3"/>
      <c r="C200" s="3"/>
      <c r="D200" s="3"/>
      <c r="E200" s="3"/>
      <c r="F200" s="3"/>
      <c r="G200" s="3"/>
      <c r="H200" s="3"/>
      <c r="I200" s="3"/>
    </row>
    <row r="201" spans="1:13">
      <c r="A201" s="6"/>
      <c r="B201" s="3"/>
      <c r="C201" s="3"/>
      <c r="D201" s="3"/>
      <c r="E201" s="3"/>
      <c r="F201" s="3"/>
      <c r="G201" s="3"/>
      <c r="H201" s="3"/>
      <c r="I201" s="3"/>
    </row>
    <row r="202" spans="1:13">
      <c r="A202" s="6"/>
      <c r="B202" s="3"/>
      <c r="C202" s="3"/>
      <c r="D202" s="3"/>
      <c r="E202" s="3"/>
      <c r="F202" s="3"/>
      <c r="G202" s="3"/>
      <c r="H202" s="3"/>
      <c r="I202" s="3"/>
      <c r="M202" s="3" t="s">
        <v>6</v>
      </c>
    </row>
    <row r="203" spans="1:13">
      <c r="A203" s="6"/>
      <c r="B203" s="3"/>
      <c r="C203" s="3"/>
      <c r="D203" s="3"/>
      <c r="E203" s="3"/>
      <c r="F203" s="3"/>
      <c r="G203" s="3"/>
      <c r="H203" s="3"/>
      <c r="I203" s="3"/>
      <c r="M203" s="3" t="str">
        <f t="shared" ref="M203:M234" si="6">IF(AP8&lt;&gt;"","UPDATE dbo.DC_OnlineDevices SET [Description] = '" &amp; C27 &amp; "', [Device Type] = '" &amp; $Q$3 &amp;"', [Location Code] = '" &amp; $E$4 &amp; "'  WHERE [MAC_ID] = '" &amp; AP8 &amp; "' IF @@ROWCOUNT = 0 Insert Into dbo.DC_OnlineDevices ([Description], [MAC_ID], [Device Type], [Location Code]) Values ('" &amp; C27 &amp; "', '" &amp; AP8 &amp; "', '" &amp; $Q$3 &amp; "', '" &amp; $E$4 &amp; "')","")</f>
        <v>UPDATE dbo.DC_OnlineDevices SET [Description] = 'VCB001', [Device Type] = '300', [Location Code] = '55'  WHERE [MAC_ID] = '300ED535F598' IF @@ROWCOUNT = 0 Insert Into dbo.DC_OnlineDevices ([Description], [MAC_ID], [Device Type], [Location Code]) Values ('VCB001', '300ED535F598', '300', '55')</v>
      </c>
    </row>
    <row r="204" spans="1:13">
      <c r="A204" s="6"/>
      <c r="B204" s="3"/>
      <c r="C204" s="3"/>
      <c r="D204" s="3"/>
      <c r="E204" s="3"/>
      <c r="F204" s="3"/>
      <c r="G204" s="3"/>
      <c r="H204" s="3"/>
      <c r="I204" s="3"/>
      <c r="M204" s="3" t="str">
        <f t="shared" si="6"/>
        <v>UPDATE dbo.DC_OnlineDevices SET [Description] = 'VCB002', [Device Type] = '300', [Location Code] = '55'  WHERE [MAC_ID] = '300ED53BCAFC' IF @@ROWCOUNT = 0 Insert Into dbo.DC_OnlineDevices ([Description], [MAC_ID], [Device Type], [Location Code]) Values ('VCB002', '300ED53BCAFC', '300', '55')</v>
      </c>
    </row>
    <row r="205" spans="1:13">
      <c r="A205" s="6"/>
      <c r="B205" s="3"/>
      <c r="C205" s="3"/>
      <c r="D205" s="3"/>
      <c r="E205" s="3"/>
      <c r="F205" s="3"/>
      <c r="G205" s="3"/>
      <c r="H205" s="3"/>
      <c r="I205" s="3"/>
      <c r="M205" s="3" t="str">
        <f t="shared" si="6"/>
        <v>UPDATE dbo.DC_OnlineDevices SET [Description] = 'VCB003', [Device Type] = '300', [Location Code] = '55'  WHERE [MAC_ID] = '300ED5369CB6' IF @@ROWCOUNT = 0 Insert Into dbo.DC_OnlineDevices ([Description], [MAC_ID], [Device Type], [Location Code]) Values ('VCB003', '300ED5369CB6', '300', '55')</v>
      </c>
    </row>
    <row r="206" spans="1:13">
      <c r="A206" s="6"/>
      <c r="B206" s="3"/>
      <c r="C206" s="3"/>
      <c r="D206" s="3"/>
      <c r="E206" s="3"/>
      <c r="F206" s="3"/>
      <c r="G206" s="3"/>
      <c r="H206" s="3"/>
      <c r="I206" s="3"/>
      <c r="M206" s="3" t="str">
        <f t="shared" si="6"/>
        <v>UPDATE dbo.DC_OnlineDevices SET [Description] = 'VCC502', [Device Type] = '300', [Location Code] = '55'  WHERE [MAC_ID] = '300ED53A8834' IF @@ROWCOUNT = 0 Insert Into dbo.DC_OnlineDevices ([Description], [MAC_ID], [Device Type], [Location Code]) Values ('VCC502', '300ED53A8834', '300', '55')</v>
      </c>
    </row>
    <row r="207" spans="1:13">
      <c r="A207" s="6"/>
      <c r="B207" s="3"/>
      <c r="C207" s="3"/>
      <c r="D207" s="3"/>
      <c r="E207" s="3"/>
      <c r="F207" s="3"/>
      <c r="G207" s="3"/>
      <c r="H207" s="3"/>
      <c r="I207" s="3"/>
      <c r="M207" s="3" t="str">
        <f t="shared" si="6"/>
        <v>UPDATE dbo.DC_OnlineDevices SET [Description] = 'VCC503', [Device Type] = '300', [Location Code] = '55'  WHERE [MAC_ID] = '300ED53A8833' IF @@ROWCOUNT = 0 Insert Into dbo.DC_OnlineDevices ([Description], [MAC_ID], [Device Type], [Location Code]) Values ('VCC503', '300ED53A8833', '300', '55')</v>
      </c>
    </row>
    <row r="208" spans="1:13">
      <c r="A208" s="6"/>
      <c r="B208" s="3"/>
      <c r="C208" s="3"/>
      <c r="D208" s="3"/>
      <c r="E208" s="3"/>
      <c r="F208" s="3"/>
      <c r="G208" s="3"/>
      <c r="H208" s="3"/>
      <c r="I208" s="3"/>
      <c r="M208" s="3" t="str">
        <f t="shared" si="6"/>
        <v>UPDATE dbo.DC_OnlineDevices SET [Description] = 'VCC504', [Device Type] = '300', [Location Code] = '55'  WHERE [MAC_ID] = '300ED53A085A' IF @@ROWCOUNT = 0 Insert Into dbo.DC_OnlineDevices ([Description], [MAC_ID], [Device Type], [Location Code]) Values ('VCC504', '300ED53A085A', '300', '55')</v>
      </c>
    </row>
    <row r="209" spans="1:13">
      <c r="A209" s="6"/>
      <c r="B209" s="3"/>
      <c r="C209" s="3"/>
      <c r="D209" s="3"/>
      <c r="E209" s="3"/>
      <c r="F209" s="3"/>
      <c r="G209" s="3"/>
      <c r="H209" s="3"/>
      <c r="I209" s="3"/>
      <c r="M209" s="3" t="str">
        <f t="shared" si="6"/>
        <v>UPDATE dbo.DC_OnlineDevices SET [Description] = 'VCC505', [Device Type] = '300', [Location Code] = '55'  WHERE [MAC_ID] = '300ED53A8823' IF @@ROWCOUNT = 0 Insert Into dbo.DC_OnlineDevices ([Description], [MAC_ID], [Device Type], [Location Code]) Values ('VCC505', '300ED53A8823', '300', '55')</v>
      </c>
    </row>
    <row r="210" spans="1:13">
      <c r="A210" s="6"/>
      <c r="B210" s="3"/>
      <c r="C210" s="3"/>
      <c r="D210" s="3"/>
      <c r="E210" s="3"/>
      <c r="F210" s="3"/>
      <c r="G210" s="3"/>
      <c r="H210" s="3"/>
      <c r="I210" s="3"/>
      <c r="M210" s="3" t="str">
        <f t="shared" si="6"/>
        <v>UPDATE dbo.DC_OnlineDevices SET [Description] = 'VCC506', [Device Type] = '300', [Location Code] = '55'  WHERE [MAC_ID] = '300ED53A889B' IF @@ROWCOUNT = 0 Insert Into dbo.DC_OnlineDevices ([Description], [MAC_ID], [Device Type], [Location Code]) Values ('VCC506', '300ED53A889B', '300', '55')</v>
      </c>
    </row>
    <row r="211" spans="1:13">
      <c r="A211" s="6"/>
      <c r="B211" s="3"/>
      <c r="C211" s="3"/>
      <c r="D211" s="3"/>
      <c r="E211" s="3"/>
      <c r="F211" s="3"/>
      <c r="G211" s="3"/>
      <c r="H211" s="3"/>
      <c r="I211" s="3"/>
      <c r="M211" s="3" t="str">
        <f t="shared" si="6"/>
        <v>UPDATE dbo.DC_OnlineDevices SET [Description] = 'VCC507', [Device Type] = '300', [Location Code] = '55'  WHERE [MAC_ID] = '300ED53A8960' IF @@ROWCOUNT = 0 Insert Into dbo.DC_OnlineDevices ([Description], [MAC_ID], [Device Type], [Location Code]) Values ('VCC507', '300ED53A8960', '300', '55')</v>
      </c>
    </row>
    <row r="212" spans="1:13">
      <c r="A212" s="6"/>
      <c r="B212" s="3"/>
      <c r="C212" s="3"/>
      <c r="D212" s="3"/>
      <c r="E212" s="3"/>
      <c r="F212" s="3"/>
      <c r="G212" s="3"/>
      <c r="H212" s="3"/>
      <c r="I212" s="3"/>
      <c r="M212" s="3" t="str">
        <f t="shared" si="6"/>
        <v>UPDATE dbo.DC_OnlineDevices SET [Description] = 'VCC508', [Device Type] = '300', [Location Code] = '55'  WHERE [MAC_ID] = '300ED53A87FD' IF @@ROWCOUNT = 0 Insert Into dbo.DC_OnlineDevices ([Description], [MAC_ID], [Device Type], [Location Code]) Values ('VCC508', '300ED53A87FD', '300', '55')</v>
      </c>
    </row>
    <row r="213" spans="1:13">
      <c r="A213" s="6"/>
      <c r="B213" s="3"/>
      <c r="C213" s="3"/>
      <c r="D213" s="3"/>
      <c r="E213" s="3"/>
      <c r="F213" s="3"/>
      <c r="G213" s="3"/>
      <c r="H213" s="3"/>
      <c r="I213" s="3"/>
      <c r="M213" s="3" t="str">
        <f t="shared" si="6"/>
        <v>UPDATE dbo.DC_OnlineDevices SET [Description] = 'VCC509', [Device Type] = '300', [Location Code] = '55'  WHERE [MAC_ID] = '300ED53A0316' IF @@ROWCOUNT = 0 Insert Into dbo.DC_OnlineDevices ([Description], [MAC_ID], [Device Type], [Location Code]) Values ('VCC509', '300ED53A0316', '300', '55')</v>
      </c>
    </row>
    <row r="214" spans="1:13">
      <c r="A214" s="6"/>
      <c r="B214" s="3"/>
      <c r="C214" s="3"/>
      <c r="D214" s="3"/>
      <c r="E214" s="3"/>
      <c r="F214" s="3"/>
      <c r="G214" s="3"/>
      <c r="H214" s="3"/>
      <c r="I214" s="3"/>
      <c r="M214" s="3" t="str">
        <f t="shared" si="6"/>
        <v>UPDATE dbo.DC_OnlineDevices SET [Description] = 'VCC510', [Device Type] = '300', [Location Code] = '55'  WHERE [MAC_ID] = '300ED53A8835' IF @@ROWCOUNT = 0 Insert Into dbo.DC_OnlineDevices ([Description], [MAC_ID], [Device Type], [Location Code]) Values ('VCC510', '300ED53A8835', '300', '55')</v>
      </c>
    </row>
    <row r="215" spans="1:13">
      <c r="A215" s="6"/>
      <c r="B215" s="3"/>
      <c r="C215" s="3"/>
      <c r="D215" s="3"/>
      <c r="E215" s="3"/>
      <c r="F215" s="3"/>
      <c r="G215" s="3"/>
      <c r="H215" s="3"/>
      <c r="I215" s="3"/>
      <c r="M215" s="3" t="str">
        <f t="shared" si="6"/>
        <v>UPDATE dbo.DC_OnlineDevices SET [Description] = 'VCC511', [Device Type] = '300', [Location Code] = '55'  WHERE [MAC_ID] = '300ED53A895C' IF @@ROWCOUNT = 0 Insert Into dbo.DC_OnlineDevices ([Description], [MAC_ID], [Device Type], [Location Code]) Values ('VCC511', '300ED53A895C', '300', '55')</v>
      </c>
    </row>
    <row r="216" spans="1:13">
      <c r="A216" s="6"/>
      <c r="B216" s="3"/>
      <c r="C216" s="3"/>
      <c r="D216" s="3"/>
      <c r="E216" s="3"/>
      <c r="F216" s="3"/>
      <c r="G216" s="3"/>
      <c r="H216" s="3"/>
      <c r="I216" s="3"/>
      <c r="M216" s="3" t="str">
        <f t="shared" si="6"/>
        <v>UPDATE dbo.DC_OnlineDevices SET [Description] = 'VCC512', [Device Type] = '300', [Location Code] = '55'  WHERE [MAC_ID] = '300ED53A8959' IF @@ROWCOUNT = 0 Insert Into dbo.DC_OnlineDevices ([Description], [MAC_ID], [Device Type], [Location Code]) Values ('VCC512', '300ED53A8959', '300', '55')</v>
      </c>
    </row>
    <row r="217" spans="1:13">
      <c r="A217" s="6"/>
      <c r="B217" s="3"/>
      <c r="C217" s="3"/>
      <c r="D217" s="3"/>
      <c r="E217" s="3"/>
      <c r="F217" s="3"/>
      <c r="G217" s="3"/>
      <c r="H217" s="3"/>
      <c r="I217" s="3"/>
      <c r="M217" s="3" t="str">
        <f t="shared" si="6"/>
        <v>UPDATE dbo.DC_OnlineDevices SET [Description] = 'VCC513', [Device Type] = '300', [Location Code] = '55'  WHERE [MAC_ID] = '300ED53A88D9' IF @@ROWCOUNT = 0 Insert Into dbo.DC_OnlineDevices ([Description], [MAC_ID], [Device Type], [Location Code]) Values ('VCC513', '300ED53A88D9', '300', '55')</v>
      </c>
    </row>
    <row r="218" spans="1:13">
      <c r="A218" s="6"/>
      <c r="B218" s="3"/>
      <c r="C218" s="3"/>
      <c r="D218" s="3"/>
      <c r="E218" s="3"/>
      <c r="F218" s="3"/>
      <c r="G218" s="3"/>
      <c r="H218" s="3"/>
      <c r="I218" s="3"/>
      <c r="M218" s="3" t="str">
        <f t="shared" si="6"/>
        <v>UPDATE dbo.DC_OnlineDevices SET [Description] = 'VCC514', [Device Type] = '300', [Location Code] = '55'  WHERE [MAC_ID] = '300ED53A8870' IF @@ROWCOUNT = 0 Insert Into dbo.DC_OnlineDevices ([Description], [MAC_ID], [Device Type], [Location Code]) Values ('VCC514', '300ED53A8870', '300', '55')</v>
      </c>
    </row>
    <row r="219" spans="1:13">
      <c r="A219" s="6"/>
      <c r="B219" s="3"/>
      <c r="C219" s="3"/>
      <c r="D219" s="3"/>
      <c r="E219" s="3"/>
      <c r="F219" s="3"/>
      <c r="G219" s="3"/>
      <c r="H219" s="3"/>
      <c r="I219" s="3"/>
      <c r="M219" s="3" t="str">
        <f t="shared" si="6"/>
        <v>UPDATE dbo.DC_OnlineDevices SET [Description] = 'VCC515', [Device Type] = '300', [Location Code] = '55'  WHERE [MAC_ID] = '300ED535BCC0' IF @@ROWCOUNT = 0 Insert Into dbo.DC_OnlineDevices ([Description], [MAC_ID], [Device Type], [Location Code]) Values ('VCC515', '300ED535BCC0', '300', '55')</v>
      </c>
    </row>
    <row r="220" spans="1:13">
      <c r="A220" s="6"/>
      <c r="B220" s="3"/>
      <c r="C220" s="3"/>
      <c r="D220" s="3"/>
      <c r="E220" s="3"/>
      <c r="F220" s="3"/>
      <c r="G220" s="3"/>
      <c r="H220" s="3"/>
      <c r="I220" s="3"/>
      <c r="M220" s="3" t="str">
        <f t="shared" si="6"/>
        <v/>
      </c>
    </row>
    <row r="221" spans="1:13">
      <c r="A221" s="6"/>
      <c r="B221" s="3"/>
      <c r="C221" s="3"/>
      <c r="D221" s="3"/>
      <c r="E221" s="3"/>
      <c r="F221" s="3"/>
      <c r="G221" s="3"/>
      <c r="H221" s="3"/>
      <c r="I221" s="3"/>
      <c r="M221" s="3" t="str">
        <f t="shared" si="6"/>
        <v/>
      </c>
    </row>
    <row r="222" spans="1:13">
      <c r="A222" s="6"/>
      <c r="B222" s="3"/>
      <c r="C222" s="3"/>
      <c r="D222" s="3"/>
      <c r="E222" s="3"/>
      <c r="F222" s="3"/>
      <c r="G222" s="3"/>
      <c r="H222" s="3"/>
      <c r="I222" s="3"/>
      <c r="M222" s="3" t="str">
        <f t="shared" si="6"/>
        <v/>
      </c>
    </row>
    <row r="223" spans="1:13">
      <c r="A223" s="6"/>
      <c r="B223" s="3"/>
      <c r="C223" s="3"/>
      <c r="D223" s="3"/>
      <c r="E223" s="3"/>
      <c r="F223" s="3"/>
      <c r="G223" s="3"/>
      <c r="H223" s="3"/>
      <c r="I223" s="3"/>
      <c r="M223" s="3" t="str">
        <f t="shared" si="6"/>
        <v/>
      </c>
    </row>
    <row r="224" spans="1:13">
      <c r="A224" s="6"/>
      <c r="B224" s="3"/>
      <c r="C224" s="3"/>
      <c r="D224" s="3"/>
      <c r="E224" s="3"/>
      <c r="F224" s="3"/>
      <c r="G224" s="3"/>
      <c r="H224" s="3"/>
      <c r="I224" s="3"/>
      <c r="M224" s="3" t="str">
        <f t="shared" si="6"/>
        <v/>
      </c>
    </row>
    <row r="225" spans="1:13">
      <c r="A225" s="6"/>
      <c r="B225" s="3"/>
      <c r="C225" s="3"/>
      <c r="D225" s="3"/>
      <c r="E225" s="3"/>
      <c r="F225" s="3"/>
      <c r="G225" s="3"/>
      <c r="H225" s="3"/>
      <c r="I225" s="3"/>
      <c r="M225" s="3" t="str">
        <f t="shared" si="6"/>
        <v/>
      </c>
    </row>
    <row r="226" spans="1:13">
      <c r="A226" s="6"/>
      <c r="B226" s="3"/>
      <c r="C226" s="3"/>
      <c r="D226" s="3"/>
      <c r="E226" s="3"/>
      <c r="F226" s="3"/>
      <c r="G226" s="3"/>
      <c r="H226" s="3"/>
      <c r="I226" s="3"/>
      <c r="M226" s="3" t="str">
        <f t="shared" si="6"/>
        <v/>
      </c>
    </row>
    <row r="227" spans="1:13">
      <c r="A227" s="6"/>
      <c r="B227" s="3"/>
      <c r="C227" s="3"/>
      <c r="D227" s="3"/>
      <c r="E227" s="3"/>
      <c r="F227" s="3"/>
      <c r="G227" s="3"/>
      <c r="H227" s="3"/>
      <c r="I227" s="3"/>
      <c r="M227" s="3" t="str">
        <f t="shared" si="6"/>
        <v/>
      </c>
    </row>
    <row r="228" spans="1:13">
      <c r="A228" s="6"/>
      <c r="B228" s="3"/>
      <c r="C228" s="3"/>
      <c r="D228" s="3"/>
      <c r="E228" s="3"/>
      <c r="F228" s="3"/>
      <c r="G228" s="3"/>
      <c r="H228" s="3"/>
      <c r="I228" s="3"/>
      <c r="M228" s="3" t="str">
        <f t="shared" si="6"/>
        <v/>
      </c>
    </row>
    <row r="229" spans="1:13">
      <c r="A229" s="6"/>
      <c r="B229" s="3"/>
      <c r="C229" s="3"/>
      <c r="D229" s="3"/>
      <c r="E229" s="3"/>
      <c r="F229" s="3"/>
      <c r="G229" s="3"/>
      <c r="H229" s="3"/>
      <c r="I229" s="3"/>
      <c r="M229" s="3" t="str">
        <f t="shared" si="6"/>
        <v/>
      </c>
    </row>
    <row r="230" spans="1:13">
      <c r="A230" s="6"/>
      <c r="B230" s="3"/>
      <c r="C230" s="3"/>
      <c r="D230" s="3"/>
      <c r="E230" s="3"/>
      <c r="F230" s="3"/>
      <c r="G230" s="3"/>
      <c r="H230" s="3"/>
      <c r="I230" s="3"/>
      <c r="M230" s="3" t="str">
        <f t="shared" si="6"/>
        <v/>
      </c>
    </row>
    <row r="231" spans="1:13">
      <c r="A231" s="6"/>
      <c r="B231" s="3"/>
      <c r="C231" s="3"/>
      <c r="D231" s="3"/>
      <c r="E231" s="3"/>
      <c r="F231" s="3"/>
      <c r="G231" s="3"/>
      <c r="H231" s="3"/>
      <c r="I231" s="3"/>
      <c r="M231" s="3" t="str">
        <f t="shared" si="6"/>
        <v/>
      </c>
    </row>
    <row r="232" spans="1:13">
      <c r="A232" s="6"/>
      <c r="B232" s="3"/>
      <c r="C232" s="3"/>
      <c r="D232" s="3"/>
      <c r="E232" s="3"/>
      <c r="F232" s="3"/>
      <c r="G232" s="3"/>
      <c r="H232" s="3"/>
      <c r="I232" s="3"/>
      <c r="M232" s="3" t="str">
        <f t="shared" si="6"/>
        <v/>
      </c>
    </row>
    <row r="233" spans="1:13">
      <c r="A233" s="6"/>
      <c r="B233" s="3"/>
      <c r="C233" s="3"/>
      <c r="D233" s="3"/>
      <c r="E233" s="3"/>
      <c r="F233" s="3"/>
      <c r="G233" s="3"/>
      <c r="H233" s="3"/>
      <c r="I233" s="3"/>
      <c r="M233" s="3" t="str">
        <f t="shared" si="6"/>
        <v/>
      </c>
    </row>
    <row r="234" spans="1:13">
      <c r="A234" s="6"/>
      <c r="B234" s="3"/>
      <c r="C234" s="3"/>
      <c r="D234" s="3"/>
      <c r="E234" s="3"/>
      <c r="F234" s="3"/>
      <c r="G234" s="3"/>
      <c r="H234" s="3"/>
      <c r="I234" s="3"/>
      <c r="M234" s="3" t="str">
        <f t="shared" si="6"/>
        <v/>
      </c>
    </row>
    <row r="235" spans="1:13">
      <c r="A235" s="6"/>
      <c r="B235" s="3"/>
      <c r="C235" s="3"/>
      <c r="D235" s="3"/>
      <c r="E235" s="3"/>
      <c r="F235" s="3"/>
      <c r="G235" s="3"/>
      <c r="H235" s="3"/>
      <c r="I235" s="3"/>
      <c r="M235" s="3" t="str">
        <f t="shared" ref="M235:M266" si="7">IF(AP40&lt;&gt;"","UPDATE dbo.DC_OnlineDevices SET [Description] = '" &amp; C59 &amp; "', [Device Type] = '" &amp; $Q$3 &amp;"', [Location Code] = '" &amp; $E$4 &amp; "'  WHERE [MAC_ID] = '" &amp; AP40 &amp; "' IF @@ROWCOUNT = 0 Insert Into dbo.DC_OnlineDevices ([Description], [MAC_ID], [Device Type], [Location Code]) Values ('" &amp; C59 &amp; "', '" &amp; AP40 &amp; "', '" &amp; $Q$3 &amp; "', '" &amp; $E$4 &amp; "')","")</f>
        <v/>
      </c>
    </row>
    <row r="236" spans="1:13">
      <c r="A236" s="6"/>
      <c r="B236" s="3"/>
      <c r="C236" s="3"/>
      <c r="D236" s="3"/>
      <c r="E236" s="3"/>
      <c r="F236" s="3"/>
      <c r="G236" s="3"/>
      <c r="H236" s="3"/>
      <c r="I236" s="3"/>
      <c r="M236" s="3" t="str">
        <f t="shared" si="7"/>
        <v/>
      </c>
    </row>
    <row r="237" spans="1:13">
      <c r="A237" s="6"/>
      <c r="B237" s="3"/>
      <c r="C237" s="3"/>
      <c r="D237" s="3"/>
      <c r="E237" s="3"/>
      <c r="F237" s="3"/>
      <c r="G237" s="3"/>
      <c r="H237" s="3"/>
      <c r="I237" s="3"/>
      <c r="M237" s="3" t="str">
        <f t="shared" si="7"/>
        <v/>
      </c>
    </row>
    <row r="238" spans="1:13">
      <c r="A238" s="6"/>
      <c r="B238" s="3"/>
      <c r="C238" s="3"/>
      <c r="D238" s="3"/>
      <c r="E238" s="3"/>
      <c r="F238" s="3"/>
      <c r="G238" s="3"/>
      <c r="H238" s="3"/>
      <c r="I238" s="3"/>
      <c r="M238" s="3" t="str">
        <f t="shared" si="7"/>
        <v/>
      </c>
    </row>
    <row r="239" spans="1:13">
      <c r="A239" s="6"/>
      <c r="B239" s="3"/>
      <c r="C239" s="3"/>
      <c r="D239" s="3"/>
      <c r="E239" s="3"/>
      <c r="F239" s="3"/>
      <c r="G239" s="3"/>
      <c r="H239" s="3"/>
      <c r="I239" s="3"/>
      <c r="M239" s="3" t="str">
        <f t="shared" si="7"/>
        <v/>
      </c>
    </row>
    <row r="240" spans="1:13">
      <c r="A240" s="6"/>
      <c r="B240" s="3"/>
      <c r="C240" s="3"/>
      <c r="D240" s="3"/>
      <c r="E240" s="3"/>
      <c r="F240" s="3"/>
      <c r="G240" s="3"/>
      <c r="H240" s="3"/>
      <c r="I240" s="3"/>
      <c r="M240" s="3" t="str">
        <f t="shared" si="7"/>
        <v/>
      </c>
    </row>
    <row r="241" spans="1:13">
      <c r="A241" s="6"/>
      <c r="B241" s="3"/>
      <c r="C241" s="3"/>
      <c r="D241" s="3"/>
      <c r="E241" s="3"/>
      <c r="F241" s="3"/>
      <c r="G241" s="3"/>
      <c r="H241" s="3"/>
      <c r="I241" s="3"/>
      <c r="M241" s="3" t="str">
        <f t="shared" si="7"/>
        <v/>
      </c>
    </row>
    <row r="242" spans="1:13">
      <c r="A242" s="6"/>
      <c r="B242" s="3"/>
      <c r="C242" s="3"/>
      <c r="D242" s="3"/>
      <c r="E242" s="3"/>
      <c r="F242" s="3"/>
      <c r="G242" s="3"/>
      <c r="H242" s="3"/>
      <c r="I242" s="3"/>
      <c r="M242" s="3" t="str">
        <f t="shared" si="7"/>
        <v/>
      </c>
    </row>
    <row r="243" spans="1:13">
      <c r="A243" s="6"/>
      <c r="B243" s="3"/>
      <c r="C243" s="3"/>
      <c r="D243" s="3"/>
      <c r="E243" s="3"/>
      <c r="F243" s="3"/>
      <c r="G243" s="3"/>
      <c r="H243" s="3"/>
      <c r="I243" s="3"/>
      <c r="M243" s="3" t="str">
        <f t="shared" si="7"/>
        <v/>
      </c>
    </row>
    <row r="244" spans="1:13">
      <c r="A244" s="6"/>
      <c r="B244" s="3"/>
      <c r="C244" s="3"/>
      <c r="D244" s="3"/>
      <c r="E244" s="3"/>
      <c r="F244" s="3"/>
      <c r="G244" s="3"/>
      <c r="H244" s="3"/>
      <c r="I244" s="3"/>
      <c r="M244" s="3" t="str">
        <f t="shared" si="7"/>
        <v/>
      </c>
    </row>
    <row r="245" spans="1:13">
      <c r="A245" s="6"/>
      <c r="B245" s="3"/>
      <c r="C245" s="3"/>
      <c r="D245" s="3"/>
      <c r="E245" s="3"/>
      <c r="F245" s="3"/>
      <c r="G245" s="3"/>
      <c r="H245" s="3"/>
      <c r="I245" s="3"/>
      <c r="M245" s="3" t="str">
        <f t="shared" si="7"/>
        <v/>
      </c>
    </row>
    <row r="246" spans="1:13">
      <c r="A246" s="6"/>
      <c r="B246" s="3"/>
      <c r="C246" s="3"/>
      <c r="D246" s="3"/>
      <c r="E246" s="3"/>
      <c r="F246" s="3"/>
      <c r="G246" s="3"/>
      <c r="H246" s="3"/>
      <c r="I246" s="3"/>
      <c r="M246" s="3" t="str">
        <f t="shared" si="7"/>
        <v/>
      </c>
    </row>
    <row r="247" spans="1:13">
      <c r="A247" s="6"/>
      <c r="B247" s="3"/>
      <c r="C247" s="3"/>
      <c r="D247" s="3"/>
      <c r="E247" s="3"/>
      <c r="F247" s="3"/>
      <c r="G247" s="3"/>
      <c r="H247" s="3"/>
      <c r="I247" s="3"/>
      <c r="M247" s="3" t="str">
        <f t="shared" si="7"/>
        <v/>
      </c>
    </row>
    <row r="248" spans="1:13">
      <c r="A248" s="6"/>
      <c r="B248" s="3"/>
      <c r="C248" s="3"/>
      <c r="D248" s="3"/>
      <c r="E248" s="3"/>
      <c r="F248" s="3"/>
      <c r="G248" s="3"/>
      <c r="H248" s="3"/>
      <c r="I248" s="3"/>
      <c r="M248" s="3" t="str">
        <f t="shared" si="7"/>
        <v/>
      </c>
    </row>
    <row r="249" spans="1:13">
      <c r="A249" s="6"/>
      <c r="B249" s="3"/>
      <c r="C249" s="3"/>
      <c r="D249" s="3"/>
      <c r="E249" s="3"/>
      <c r="F249" s="3"/>
      <c r="G249" s="3"/>
      <c r="H249" s="3"/>
      <c r="I249" s="3"/>
      <c r="M249" s="3" t="str">
        <f t="shared" si="7"/>
        <v/>
      </c>
    </row>
    <row r="250" spans="1:13">
      <c r="A250" s="6"/>
      <c r="B250" s="3"/>
      <c r="C250" s="3"/>
      <c r="D250" s="3"/>
      <c r="E250" s="3"/>
      <c r="F250" s="3"/>
      <c r="G250" s="3"/>
      <c r="H250" s="3"/>
      <c r="I250" s="3"/>
      <c r="M250" s="3" t="str">
        <f t="shared" si="7"/>
        <v/>
      </c>
    </row>
    <row r="251" spans="1:13">
      <c r="A251" s="6"/>
      <c r="B251" s="3"/>
      <c r="C251" s="3"/>
      <c r="D251" s="3"/>
      <c r="E251" s="3"/>
      <c r="F251" s="3"/>
      <c r="G251" s="3"/>
      <c r="H251" s="3"/>
      <c r="I251" s="3"/>
      <c r="M251" s="3" t="str">
        <f t="shared" si="7"/>
        <v/>
      </c>
    </row>
    <row r="252" spans="1:13">
      <c r="A252" s="6"/>
      <c r="B252" s="3"/>
      <c r="C252" s="3"/>
      <c r="D252" s="3"/>
      <c r="E252" s="3"/>
      <c r="F252" s="3"/>
      <c r="G252" s="3"/>
      <c r="H252" s="3"/>
      <c r="I252" s="3"/>
      <c r="M252" s="3" t="str">
        <f t="shared" si="7"/>
        <v/>
      </c>
    </row>
    <row r="253" spans="1:13">
      <c r="A253" s="6"/>
      <c r="B253" s="3"/>
      <c r="C253" s="3"/>
      <c r="D253" s="3"/>
      <c r="E253" s="3"/>
      <c r="F253" s="3"/>
      <c r="G253" s="3"/>
      <c r="H253" s="3"/>
      <c r="I253" s="3"/>
      <c r="M253" s="3" t="str">
        <f t="shared" si="7"/>
        <v/>
      </c>
    </row>
    <row r="254" spans="1:13">
      <c r="A254" s="6"/>
      <c r="B254" s="3"/>
      <c r="C254" s="3"/>
      <c r="D254" s="3"/>
      <c r="E254" s="3"/>
      <c r="F254" s="3"/>
      <c r="G254" s="3"/>
      <c r="H254" s="3"/>
      <c r="I254" s="3"/>
      <c r="M254" s="3" t="str">
        <f t="shared" si="7"/>
        <v/>
      </c>
    </row>
    <row r="255" spans="1:13">
      <c r="A255" s="6"/>
      <c r="B255" s="3"/>
      <c r="C255" s="3"/>
      <c r="D255" s="3"/>
      <c r="E255" s="3"/>
      <c r="F255" s="3"/>
      <c r="G255" s="3"/>
      <c r="H255" s="3"/>
      <c r="I255" s="3"/>
      <c r="M255" s="3" t="str">
        <f t="shared" si="7"/>
        <v/>
      </c>
    </row>
    <row r="256" spans="1:13">
      <c r="A256" s="6"/>
      <c r="B256" s="3"/>
      <c r="C256" s="3"/>
      <c r="D256" s="3"/>
      <c r="E256" s="3"/>
      <c r="F256" s="3"/>
      <c r="G256" s="3"/>
      <c r="H256" s="3"/>
      <c r="I256" s="3"/>
      <c r="M256" s="3" t="str">
        <f t="shared" si="7"/>
        <v/>
      </c>
    </row>
    <row r="257" spans="1:13">
      <c r="A257" s="6"/>
      <c r="B257" s="3"/>
      <c r="C257" s="3"/>
      <c r="D257" s="3"/>
      <c r="E257" s="3"/>
      <c r="F257" s="3"/>
      <c r="G257" s="3"/>
      <c r="H257" s="3"/>
      <c r="I257" s="3"/>
      <c r="M257" s="3" t="str">
        <f t="shared" si="7"/>
        <v/>
      </c>
    </row>
    <row r="258" spans="1:13">
      <c r="A258" s="6"/>
      <c r="B258" s="3"/>
      <c r="C258" s="3"/>
      <c r="D258" s="3"/>
      <c r="E258" s="3"/>
      <c r="F258" s="3"/>
      <c r="G258" s="3"/>
      <c r="H258" s="3"/>
      <c r="I258" s="3"/>
      <c r="M258" s="3" t="str">
        <f t="shared" si="7"/>
        <v/>
      </c>
    </row>
    <row r="259" spans="1:13">
      <c r="A259" s="6"/>
      <c r="B259" s="3"/>
      <c r="C259" s="3"/>
      <c r="D259" s="3"/>
      <c r="E259" s="3"/>
      <c r="F259" s="3"/>
      <c r="G259" s="3"/>
      <c r="H259" s="3"/>
      <c r="I259" s="3"/>
      <c r="M259" s="3" t="str">
        <f t="shared" si="7"/>
        <v/>
      </c>
    </row>
    <row r="260" spans="1:13">
      <c r="A260" s="6"/>
      <c r="B260" s="3"/>
      <c r="C260" s="3"/>
      <c r="D260" s="3"/>
      <c r="E260" s="3"/>
      <c r="F260" s="3"/>
      <c r="G260" s="3"/>
      <c r="H260" s="3"/>
      <c r="I260" s="3"/>
      <c r="M260" s="3" t="str">
        <f t="shared" si="7"/>
        <v/>
      </c>
    </row>
    <row r="261" spans="1:13">
      <c r="A261" s="6"/>
      <c r="B261" s="3"/>
      <c r="C261" s="3"/>
      <c r="D261" s="3"/>
      <c r="E261" s="3"/>
      <c r="F261" s="3"/>
      <c r="G261" s="3"/>
      <c r="H261" s="3"/>
      <c r="I261" s="3"/>
      <c r="M261" s="3" t="str">
        <f t="shared" si="7"/>
        <v/>
      </c>
    </row>
    <row r="262" spans="1:13">
      <c r="A262" s="6"/>
      <c r="B262" s="3"/>
      <c r="C262" s="3"/>
      <c r="D262" s="3"/>
      <c r="E262" s="3"/>
      <c r="F262" s="3"/>
      <c r="G262" s="3"/>
      <c r="H262" s="3"/>
      <c r="I262" s="3"/>
      <c r="M262" s="3" t="str">
        <f t="shared" si="7"/>
        <v/>
      </c>
    </row>
    <row r="263" spans="1:13">
      <c r="A263" s="6"/>
      <c r="B263" s="3"/>
      <c r="C263" s="3"/>
      <c r="D263" s="3"/>
      <c r="E263" s="3"/>
      <c r="F263" s="3"/>
      <c r="G263" s="3"/>
      <c r="H263" s="3"/>
      <c r="I263" s="3"/>
      <c r="M263" s="3" t="str">
        <f t="shared" si="7"/>
        <v/>
      </c>
    </row>
    <row r="264" spans="1:13">
      <c r="A264" s="6"/>
      <c r="B264" s="3"/>
      <c r="C264" s="3"/>
      <c r="D264" s="3"/>
      <c r="E264" s="3"/>
      <c r="F264" s="3"/>
      <c r="G264" s="3"/>
      <c r="H264" s="3"/>
      <c r="I264" s="3"/>
      <c r="M264" s="3" t="str">
        <f t="shared" si="7"/>
        <v/>
      </c>
    </row>
    <row r="265" spans="1:13">
      <c r="A265" s="6"/>
      <c r="B265" s="3"/>
      <c r="C265" s="3"/>
      <c r="D265" s="3"/>
      <c r="E265" s="3"/>
      <c r="F265" s="3"/>
      <c r="G265" s="3"/>
      <c r="H265" s="3"/>
      <c r="I265" s="3"/>
      <c r="M265" s="3" t="str">
        <f t="shared" si="7"/>
        <v/>
      </c>
    </row>
    <row r="266" spans="1:13">
      <c r="A266" s="6"/>
      <c r="B266" s="3"/>
      <c r="C266" s="3"/>
      <c r="D266" s="3"/>
      <c r="E266" s="3"/>
      <c r="F266" s="3"/>
      <c r="G266" s="3"/>
      <c r="H266" s="3"/>
      <c r="I266" s="3"/>
      <c r="M266" s="3" t="str">
        <f t="shared" si="7"/>
        <v/>
      </c>
    </row>
    <row r="267" spans="1:13">
      <c r="A267" s="6"/>
      <c r="B267" s="3"/>
      <c r="C267" s="3"/>
      <c r="D267" s="3"/>
      <c r="E267" s="3"/>
      <c r="F267" s="3"/>
      <c r="G267" s="3"/>
      <c r="H267" s="3"/>
      <c r="I267" s="3"/>
      <c r="M267" s="3" t="str">
        <f t="shared" ref="M267:M294" si="8">IF(AP72&lt;&gt;"","UPDATE dbo.DC_OnlineDevices SET [Description] = '" &amp; C91 &amp; "', [Device Type] = '" &amp; $Q$3 &amp;"', [Location Code] = '" &amp; $E$4 &amp; "'  WHERE [MAC_ID] = '" &amp; AP72 &amp; "' IF @@ROWCOUNT = 0 Insert Into dbo.DC_OnlineDevices ([Description], [MAC_ID], [Device Type], [Location Code]) Values ('" &amp; C91 &amp; "', '" &amp; AP72 &amp; "', '" &amp; $Q$3 &amp; "', '" &amp; $E$4 &amp; "')","")</f>
        <v/>
      </c>
    </row>
    <row r="268" spans="1:13">
      <c r="A268" s="6"/>
      <c r="B268" s="3"/>
      <c r="C268" s="3"/>
      <c r="D268" s="3"/>
      <c r="E268" s="3"/>
      <c r="F268" s="3"/>
      <c r="G268" s="3"/>
      <c r="H268" s="3"/>
      <c r="I268" s="3"/>
      <c r="M268" s="3" t="str">
        <f t="shared" si="8"/>
        <v/>
      </c>
    </row>
    <row r="269" spans="1:13">
      <c r="A269" s="6"/>
      <c r="B269" s="3"/>
      <c r="C269" s="3"/>
      <c r="D269" s="3"/>
      <c r="E269" s="3"/>
      <c r="F269" s="3"/>
      <c r="G269" s="3"/>
      <c r="H269" s="3"/>
      <c r="I269" s="3"/>
      <c r="M269" s="3" t="str">
        <f t="shared" si="8"/>
        <v/>
      </c>
    </row>
    <row r="270" spans="1:13">
      <c r="A270" s="6"/>
      <c r="B270" s="3"/>
      <c r="C270" s="3"/>
      <c r="D270" s="3"/>
      <c r="E270" s="3"/>
      <c r="F270" s="3"/>
      <c r="G270" s="3"/>
      <c r="H270" s="3"/>
      <c r="I270" s="3"/>
      <c r="M270" s="3" t="str">
        <f t="shared" si="8"/>
        <v/>
      </c>
    </row>
    <row r="271" spans="1:13">
      <c r="A271" s="6"/>
      <c r="B271" s="3"/>
      <c r="C271" s="3"/>
      <c r="D271" s="3"/>
      <c r="E271" s="3"/>
      <c r="F271" s="3"/>
      <c r="G271" s="3"/>
      <c r="H271" s="3"/>
      <c r="I271" s="3"/>
      <c r="M271" s="3" t="str">
        <f t="shared" si="8"/>
        <v/>
      </c>
    </row>
    <row r="272" spans="1:13">
      <c r="A272" s="6"/>
      <c r="B272" s="3"/>
      <c r="C272" s="3"/>
      <c r="D272" s="3"/>
      <c r="E272" s="3"/>
      <c r="F272" s="3"/>
      <c r="G272" s="3"/>
      <c r="H272" s="3"/>
      <c r="I272" s="3"/>
      <c r="M272" s="3" t="str">
        <f t="shared" si="8"/>
        <v/>
      </c>
    </row>
    <row r="273" spans="1:13">
      <c r="A273" s="6"/>
      <c r="B273" s="3"/>
      <c r="C273" s="3"/>
      <c r="D273" s="3"/>
      <c r="E273" s="3"/>
      <c r="F273" s="3"/>
      <c r="G273" s="3"/>
      <c r="H273" s="3"/>
      <c r="I273" s="3"/>
      <c r="M273" s="3" t="str">
        <f t="shared" si="8"/>
        <v/>
      </c>
    </row>
    <row r="274" spans="1:13">
      <c r="A274" s="6"/>
      <c r="B274" s="3"/>
      <c r="C274" s="3"/>
      <c r="D274" s="3"/>
      <c r="E274" s="3"/>
      <c r="F274" s="3"/>
      <c r="G274" s="3"/>
      <c r="H274" s="3"/>
      <c r="I274" s="3"/>
      <c r="M274" s="3" t="str">
        <f t="shared" si="8"/>
        <v/>
      </c>
    </row>
    <row r="275" spans="1:13">
      <c r="A275" s="6"/>
      <c r="B275" s="3"/>
      <c r="C275" s="3"/>
      <c r="D275" s="3"/>
      <c r="E275" s="3"/>
      <c r="F275" s="3"/>
      <c r="G275" s="3"/>
      <c r="H275" s="3"/>
      <c r="I275" s="3"/>
      <c r="M275" s="3" t="str">
        <f t="shared" si="8"/>
        <v/>
      </c>
    </row>
    <row r="276" spans="1:13">
      <c r="A276" s="6"/>
      <c r="B276" s="3"/>
      <c r="C276" s="3"/>
      <c r="D276" s="3"/>
      <c r="E276" s="3"/>
      <c r="F276" s="3"/>
      <c r="G276" s="3"/>
      <c r="H276" s="3"/>
      <c r="I276" s="3"/>
      <c r="M276" s="3" t="str">
        <f t="shared" si="8"/>
        <v/>
      </c>
    </row>
    <row r="277" spans="1:13">
      <c r="A277" s="6"/>
      <c r="B277" s="3"/>
      <c r="C277" s="3"/>
      <c r="D277" s="3"/>
      <c r="E277" s="3"/>
      <c r="F277" s="3"/>
      <c r="G277" s="3"/>
      <c r="H277" s="3"/>
      <c r="I277" s="3"/>
      <c r="M277" s="3" t="str">
        <f t="shared" si="8"/>
        <v/>
      </c>
    </row>
    <row r="278" spans="1:13">
      <c r="A278" s="6"/>
      <c r="B278" s="3"/>
      <c r="C278" s="3"/>
      <c r="D278" s="3"/>
      <c r="E278" s="3"/>
      <c r="F278" s="3"/>
      <c r="G278" s="3"/>
      <c r="H278" s="3"/>
      <c r="I278" s="3"/>
      <c r="M278" s="3" t="str">
        <f t="shared" si="8"/>
        <v/>
      </c>
    </row>
    <row r="279" spans="1:13">
      <c r="A279" s="6"/>
      <c r="B279" s="3"/>
      <c r="C279" s="3"/>
      <c r="D279" s="3"/>
      <c r="E279" s="3"/>
      <c r="F279" s="3"/>
      <c r="G279" s="3"/>
      <c r="H279" s="3"/>
      <c r="I279" s="3"/>
      <c r="M279" s="3" t="str">
        <f t="shared" si="8"/>
        <v/>
      </c>
    </row>
    <row r="280" spans="1:13">
      <c r="A280" s="6"/>
      <c r="B280" s="3"/>
      <c r="C280" s="3"/>
      <c r="D280" s="3"/>
      <c r="E280" s="3"/>
      <c r="F280" s="3"/>
      <c r="G280" s="3"/>
      <c r="H280" s="3"/>
      <c r="I280" s="3"/>
      <c r="M280" s="3" t="str">
        <f t="shared" si="8"/>
        <v/>
      </c>
    </row>
    <row r="281" spans="1:13">
      <c r="A281" s="6"/>
      <c r="B281" s="3"/>
      <c r="C281" s="3"/>
      <c r="D281" s="3"/>
      <c r="E281" s="3"/>
      <c r="F281" s="3"/>
      <c r="G281" s="3"/>
      <c r="H281" s="3"/>
      <c r="I281" s="3"/>
      <c r="M281" s="3" t="str">
        <f t="shared" si="8"/>
        <v/>
      </c>
    </row>
    <row r="282" spans="1:13">
      <c r="A282" s="6"/>
      <c r="B282" s="3"/>
      <c r="C282" s="3"/>
      <c r="D282" s="3"/>
      <c r="E282" s="3"/>
      <c r="F282" s="3"/>
      <c r="G282" s="3"/>
      <c r="H282" s="3"/>
      <c r="I282" s="3"/>
      <c r="M282" s="3" t="str">
        <f t="shared" si="8"/>
        <v/>
      </c>
    </row>
    <row r="283" spans="1:13">
      <c r="A283" s="6"/>
      <c r="B283" s="3"/>
      <c r="C283" s="3"/>
      <c r="D283" s="3"/>
      <c r="E283" s="3"/>
      <c r="F283" s="3"/>
      <c r="G283" s="3"/>
      <c r="H283" s="3"/>
      <c r="I283" s="3"/>
      <c r="M283" s="3" t="str">
        <f t="shared" si="8"/>
        <v/>
      </c>
    </row>
    <row r="284" spans="1:13">
      <c r="A284" s="6"/>
      <c r="B284" s="3"/>
      <c r="C284" s="3"/>
      <c r="D284" s="3"/>
      <c r="E284" s="3"/>
      <c r="F284" s="3"/>
      <c r="G284" s="3"/>
      <c r="H284" s="3"/>
      <c r="I284" s="3"/>
      <c r="M284" s="3" t="str">
        <f t="shared" si="8"/>
        <v/>
      </c>
    </row>
    <row r="285" spans="1:13">
      <c r="A285" s="6"/>
      <c r="B285" s="3"/>
      <c r="C285" s="3"/>
      <c r="D285" s="3"/>
      <c r="E285" s="3"/>
      <c r="F285" s="3"/>
      <c r="G285" s="3"/>
      <c r="H285" s="3"/>
      <c r="I285" s="3"/>
      <c r="M285" s="3" t="str">
        <f t="shared" si="8"/>
        <v/>
      </c>
    </row>
    <row r="286" spans="1:13">
      <c r="A286" s="6"/>
      <c r="B286" s="3"/>
      <c r="C286" s="3"/>
      <c r="D286" s="3"/>
      <c r="E286" s="3"/>
      <c r="F286" s="3"/>
      <c r="G286" s="3"/>
      <c r="H286" s="3"/>
      <c r="I286" s="3"/>
      <c r="M286" s="3" t="str">
        <f t="shared" si="8"/>
        <v/>
      </c>
    </row>
    <row r="287" spans="1:13">
      <c r="A287" s="6"/>
      <c r="B287" s="3"/>
      <c r="C287" s="3"/>
      <c r="D287" s="3"/>
      <c r="E287" s="3"/>
      <c r="F287" s="3"/>
      <c r="G287" s="3"/>
      <c r="H287" s="3"/>
      <c r="I287" s="3"/>
      <c r="M287" s="3" t="str">
        <f t="shared" si="8"/>
        <v/>
      </c>
    </row>
    <row r="288" spans="1:13">
      <c r="A288" s="6"/>
      <c r="B288" s="3"/>
      <c r="C288" s="3"/>
      <c r="D288" s="3"/>
      <c r="E288" s="3"/>
      <c r="F288" s="3"/>
      <c r="G288" s="3"/>
      <c r="H288" s="3"/>
      <c r="I288" s="3"/>
      <c r="M288" s="3" t="str">
        <f t="shared" si="8"/>
        <v/>
      </c>
    </row>
    <row r="289" spans="1:13">
      <c r="A289" s="6"/>
      <c r="B289" s="3"/>
      <c r="C289" s="3"/>
      <c r="D289" s="3"/>
      <c r="E289" s="3"/>
      <c r="F289" s="3"/>
      <c r="G289" s="3"/>
      <c r="H289" s="3"/>
      <c r="I289" s="3"/>
      <c r="M289" s="3" t="str">
        <f t="shared" si="8"/>
        <v/>
      </c>
    </row>
    <row r="290" spans="1:13">
      <c r="A290" s="6"/>
      <c r="B290" s="3"/>
      <c r="C290" s="3"/>
      <c r="D290" s="3"/>
      <c r="E290" s="3"/>
      <c r="F290" s="3"/>
      <c r="G290" s="3"/>
      <c r="H290" s="3"/>
      <c r="I290" s="3"/>
      <c r="M290" s="3" t="str">
        <f t="shared" si="8"/>
        <v/>
      </c>
    </row>
    <row r="291" spans="1:13">
      <c r="A291" s="6"/>
      <c r="B291" s="3"/>
      <c r="C291" s="3"/>
      <c r="D291" s="3"/>
      <c r="E291" s="3"/>
      <c r="F291" s="3"/>
      <c r="G291" s="3"/>
      <c r="H291" s="3"/>
      <c r="I291" s="3"/>
      <c r="M291" s="3" t="str">
        <f t="shared" si="8"/>
        <v/>
      </c>
    </row>
    <row r="292" spans="1:13">
      <c r="A292" s="6"/>
      <c r="B292" s="3"/>
      <c r="C292" s="3"/>
      <c r="D292" s="3"/>
      <c r="E292" s="3"/>
      <c r="F292" s="3"/>
      <c r="G292" s="3"/>
      <c r="H292" s="3"/>
      <c r="I292" s="3"/>
      <c r="M292" s="3" t="str">
        <f t="shared" si="8"/>
        <v/>
      </c>
    </row>
    <row r="293" spans="1:13">
      <c r="A293" s="6"/>
      <c r="B293" s="3"/>
      <c r="C293" s="3"/>
      <c r="D293" s="3"/>
      <c r="E293" s="3"/>
      <c r="F293" s="3"/>
      <c r="G293" s="3"/>
      <c r="H293" s="3"/>
      <c r="I293" s="3"/>
      <c r="M293" s="3" t="str">
        <f t="shared" si="8"/>
        <v/>
      </c>
    </row>
    <row r="294" spans="1:13">
      <c r="A294" s="6"/>
      <c r="B294" s="3"/>
      <c r="C294" s="3"/>
      <c r="D294" s="3"/>
      <c r="E294" s="3"/>
      <c r="F294" s="3"/>
      <c r="G294" s="3"/>
      <c r="H294" s="3"/>
      <c r="I294" s="3"/>
      <c r="M294" s="3" t="str">
        <f t="shared" si="8"/>
        <v/>
      </c>
    </row>
    <row r="295" spans="1:13">
      <c r="A295" s="6"/>
      <c r="B295" s="3"/>
      <c r="C295" s="3"/>
      <c r="D295" s="3"/>
      <c r="E295" s="3"/>
      <c r="F295" s="3"/>
      <c r="G295" s="3"/>
      <c r="H295" s="3"/>
      <c r="I295" s="3"/>
      <c r="M295" s="3" t="str">
        <f t="shared" ref="M295:M301" si="9">IF(E119&lt;&gt;"","UPDATE dbo.DC_OnlineDevices SET [Description] = '" &amp; C119 &amp; "', [Device Type] = '" &amp; $Q$3 &amp;"', [Location Code] = '" &amp; $E$4 &amp; "'  WHERE [MAC_ID] = '" &amp; E119 &amp; "' IF @@ROWCOUNT = 0 Insert Into dbo.DC_OnlineDevices ([Description], [MAC_ID], [Device Type], [Location Code]) Values ('" &amp; C119 &amp; "', '" &amp; E119 &amp; "', '" &amp; $Q$3 &amp; "', '" &amp; $E$4 &amp; "')","")</f>
        <v/>
      </c>
    </row>
    <row r="296" spans="1:13">
      <c r="A296" s="6"/>
      <c r="B296" s="3"/>
      <c r="C296" s="3"/>
      <c r="D296" s="3"/>
      <c r="E296" s="3"/>
      <c r="F296" s="3"/>
      <c r="G296" s="3"/>
      <c r="H296" s="3"/>
      <c r="I296" s="3"/>
      <c r="M296" s="3" t="str">
        <f t="shared" si="9"/>
        <v/>
      </c>
    </row>
    <row r="297" spans="1:13">
      <c r="A297" s="6"/>
      <c r="B297" s="3"/>
      <c r="C297" s="3"/>
      <c r="D297" s="3"/>
      <c r="E297" s="3"/>
      <c r="F297" s="3"/>
      <c r="G297" s="3"/>
      <c r="H297" s="3"/>
      <c r="I297" s="3"/>
      <c r="M297" s="3" t="str">
        <f t="shared" si="9"/>
        <v/>
      </c>
    </row>
    <row r="298" spans="1:13">
      <c r="A298" s="6"/>
      <c r="B298" s="3"/>
      <c r="C298" s="3"/>
      <c r="D298" s="3"/>
      <c r="E298" s="3"/>
      <c r="F298" s="3"/>
      <c r="G298" s="3"/>
      <c r="H298" s="3"/>
      <c r="I298" s="3"/>
      <c r="M298" s="3" t="str">
        <f t="shared" si="9"/>
        <v/>
      </c>
    </row>
    <row r="299" spans="1:13">
      <c r="A299" s="6"/>
      <c r="B299" s="3"/>
      <c r="C299" s="3"/>
      <c r="D299" s="3"/>
      <c r="E299" s="3"/>
      <c r="F299" s="3"/>
      <c r="G299" s="3"/>
      <c r="H299" s="3"/>
      <c r="I299" s="3"/>
      <c r="M299" s="3" t="str">
        <f t="shared" si="9"/>
        <v/>
      </c>
    </row>
    <row r="300" spans="1:13">
      <c r="A300" s="6"/>
      <c r="B300" s="3"/>
      <c r="C300" s="3"/>
      <c r="D300" s="3"/>
      <c r="E300" s="3"/>
      <c r="F300" s="3"/>
      <c r="G300" s="3"/>
      <c r="H300" s="3"/>
      <c r="I300" s="3"/>
      <c r="M300" s="3" t="str">
        <f t="shared" si="9"/>
        <v/>
      </c>
    </row>
    <row r="301" spans="1:13">
      <c r="A301" s="6"/>
      <c r="B301" s="3"/>
      <c r="C301" s="3"/>
      <c r="D301" s="3"/>
      <c r="E301" s="3"/>
      <c r="F301" s="3"/>
      <c r="G301" s="3"/>
      <c r="H301" s="3"/>
      <c r="I301" s="3"/>
      <c r="M301" s="3" t="str">
        <f t="shared" si="9"/>
        <v/>
      </c>
    </row>
    <row r="302" spans="1:13">
      <c r="A302" s="6"/>
      <c r="B302" s="3"/>
      <c r="C302" s="3"/>
      <c r="D302" s="3"/>
      <c r="E302" s="3"/>
      <c r="F302" s="3"/>
      <c r="G302" s="3"/>
      <c r="H302" s="3"/>
      <c r="I302" s="3"/>
      <c r="M302" s="3" t="str">
        <f>IF(U8&lt;&gt;"","UPDATE dbo.DC_OnlineDevices SET [Description] = '" &amp; C12 &amp; "', [Device Type] = '300', [Location Code] = '" &amp; $E$4 &amp; "'  WHERE [MAC_ID] = '" &amp; U8 &amp; "' IF @@ROWCOUNT = 0 Insert Into dbo.DC_OnlineDevices ([Description], [MAC_ID], [Device Type], [Location Code]) Values ('" &amp; C12 &amp; "', '" &amp; U8 &amp; "', '300', '" &amp; $E$4 &amp; "')","")</f>
        <v>UPDATE dbo.DC_OnlineDevices SET [Description] = 'POS 1', [Device Type] = '300', [Location Code] = '55'  WHERE [MAC_ID] = '843A5B902652' IF @@ROWCOUNT = 0 Insert Into dbo.DC_OnlineDevices ([Description], [MAC_ID], [Device Type], [Location Code]) Values ('POS 1', '843A5B902652', '300', '55')</v>
      </c>
    </row>
    <row r="303" spans="1:13">
      <c r="A303" s="6"/>
      <c r="B303" s="3"/>
      <c r="C303" s="3"/>
      <c r="D303" s="3"/>
      <c r="E303" s="3"/>
      <c r="F303" s="3"/>
      <c r="G303" s="3"/>
      <c r="H303" s="3"/>
      <c r="I303" s="3"/>
      <c r="M303" s="3" t="str">
        <f>IF(V8&lt;&gt;"","UPDATE dbo.DC_OnlineDevices SET [Description] = '" &amp; C13 &amp; "', [Device Type] = '300', [Location Code] = '" &amp; $E$4 &amp; "'  WHERE [MAC_ID] = '" &amp; V8 &amp; "' IF @@ROWCOUNT = 0 Insert Into dbo.DC_OnlineDevices ([Description], [MAC_ID], [Device Type], [Location Code]) Values ('" &amp; C13 &amp; "', '" &amp; V8 &amp; "', '300', '" &amp; $E$4 &amp; "')","")</f>
        <v>UPDATE dbo.DC_OnlineDevices SET [Description] = 'POS 2', [Device Type] = '300', [Location Code] = '55'  WHERE [MAC_ID] = '843A5B905674' IF @@ROWCOUNT = 0 Insert Into dbo.DC_OnlineDevices ([Description], [MAC_ID], [Device Type], [Location Code]) Values ('POS 2', '843A5B905674', '300', '55')</v>
      </c>
    </row>
    <row r="304" spans="1:13">
      <c r="A304" s="6"/>
      <c r="B304" s="3"/>
      <c r="C304" s="3"/>
      <c r="D304" s="3"/>
      <c r="E304" s="3"/>
      <c r="F304" s="3"/>
      <c r="G304" s="3"/>
      <c r="H304" s="3"/>
      <c r="I304" s="3"/>
      <c r="M304" s="3" t="str">
        <f>IF(W8&lt;&gt;"","UPDATE dbo.DC_OnlineDevices SET [Description] = '" &amp; C14 &amp; "', [Device Type] = '300', [Location Code] = '" &amp; $E$4 &amp; "'  WHERE [MAC_ID] = '" &amp; W8 &amp; "' IF @@ROWCOUNT = 0 Insert Into dbo.DC_OnlineDevices ([Description], [MAC_ID], [Device Type], [Location Code]) Values ('" &amp; C14 &amp; "', '" &amp; W8 &amp; "', '300', '" &amp; $E$4 &amp; "')","")</f>
        <v>UPDATE dbo.DC_OnlineDevices SET [Description] = 'POS 3', [Device Type] = '300', [Location Code] = '55'  WHERE [MAC_ID] = '843A5B9046E6' IF @@ROWCOUNT = 0 Insert Into dbo.DC_OnlineDevices ([Description], [MAC_ID], [Device Type], [Location Code]) Values ('POS 3', '843A5B9046E6', '300', '55')</v>
      </c>
    </row>
    <row r="305" spans="1:13">
      <c r="A305" s="6"/>
      <c r="B305" s="3"/>
      <c r="C305" s="3"/>
      <c r="D305" s="3"/>
      <c r="E305" s="3"/>
      <c r="F305" s="3"/>
      <c r="G305" s="3"/>
      <c r="H305" s="3"/>
      <c r="I305" s="3"/>
      <c r="M305" s="3" t="str">
        <f>IF(X8&lt;&gt;"","UPDATE dbo.DC_OnlineDevices SET [Description] = '" &amp; C15 &amp; "', [Device Type] = '300', [Location Code] = '" &amp; $E$4 &amp; "'  WHERE [MAC_ID] = '" &amp; X8 &amp; "' IF @@ROWCOUNT = 0 Insert Into dbo.DC_OnlineDevices ([Description], [MAC_ID], [Device Type], [Location Code]) Values ('" &amp; C15 &amp; "', '" &amp; X8 &amp; "', '300', '" &amp; $E$4 &amp; "')","")</f>
        <v/>
      </c>
    </row>
    <row r="306" spans="1:13">
      <c r="A306" s="6"/>
      <c r="B306" s="3"/>
      <c r="C306" s="3"/>
      <c r="D306" s="3"/>
      <c r="E306" s="3"/>
      <c r="F306" s="3"/>
      <c r="G306" s="3"/>
      <c r="H306" s="3"/>
      <c r="I306" s="3"/>
      <c r="M306" s="3" t="str">
        <f>IF(Y8&lt;&gt;"","UPDATE dbo.DC_OnlineDevices SET [Description] = '" &amp; C16 &amp; "', [Device Type] = '300', [Location Code] = '" &amp; $E$4 &amp; "'  WHERE [MAC_ID] = '" &amp; Y8 &amp; "' IF @@ROWCOUNT = 0 Insert Into dbo.DC_OnlineDevices ([Description], [MAC_ID], [Device Type], [Location Code]) Values ('" &amp; C16 &amp; "', '" &amp; Y8 &amp; "', '300', '" &amp; $E$4 &amp; "')","")</f>
        <v/>
      </c>
    </row>
    <row r="307" spans="1:13">
      <c r="A307" s="6"/>
      <c r="B307" s="3"/>
      <c r="C307" s="3"/>
      <c r="D307" s="3"/>
      <c r="E307" s="3"/>
      <c r="F307" s="3"/>
      <c r="G307" s="3"/>
      <c r="H307" s="3"/>
      <c r="I307" s="3"/>
      <c r="M307" s="3" t="str">
        <f>IF(Z8&lt;&gt;"","UPDATE dbo.DC_OnlineDevices SET [Description] = '" &amp; C17 &amp; "', [Device Type] = '300', [Location Code] = '" &amp; $E$4 &amp; "'  WHERE [MAC_ID] = '" &amp; Z8 &amp; "' IF @@ROWCOUNT = 0 Insert Into dbo.DC_OnlineDevices ([Description], [MAC_ID], [Device Type], [Location Code]) Values ('" &amp; C17 &amp; "', '" &amp; Z8 &amp; "', '300', '" &amp; $E$4 &amp; "')","")</f>
        <v/>
      </c>
    </row>
    <row r="308" spans="1:13">
      <c r="A308" s="6"/>
      <c r="B308" s="3"/>
      <c r="C308" s="3"/>
      <c r="D308" s="3"/>
      <c r="E308" s="3"/>
      <c r="F308" s="3"/>
      <c r="G308" s="3"/>
      <c r="H308" s="3"/>
      <c r="I308" s="3"/>
      <c r="M308" s="3" t="str">
        <f>IF(AA8&lt;&gt;"","UPDATE dbo.DC_OnlineDevices SET [Description] = '" &amp; C18 &amp; "', [Device Type] = '300', [Location Code] = '" &amp; $E$4 &amp; "'  WHERE [MAC_ID] = '" &amp; AA8 &amp; "' IF @@ROWCOUNT = 0 Insert Into dbo.DC_OnlineDevices ([Description], [MAC_ID], [Device Type], [Location Code]) Values ('" &amp; C18 &amp; "', '" &amp; AA8 &amp; "', '300', '" &amp; $E$4 &amp; "')","")</f>
        <v/>
      </c>
    </row>
    <row r="309" spans="1:13">
      <c r="A309" s="6"/>
      <c r="B309" s="3"/>
      <c r="C309" s="3"/>
      <c r="D309" s="3"/>
      <c r="E309" s="3"/>
      <c r="F309" s="3"/>
      <c r="G309" s="3"/>
      <c r="H309" s="3"/>
      <c r="I309" s="3"/>
      <c r="M309" s="3" t="str">
        <f>IF(AB8&lt;&gt;"","UPDATE dbo.DC_OnlineDevices SET [Description] = '" &amp; C19 &amp; "', [Device Type] = '300', [Location Code] = '" &amp; $E$4 &amp; "'  WHERE [MAC_ID] = '" &amp; AB8 &amp; "' IF @@ROWCOUNT = 0 Insert Into dbo.DC_OnlineDevices ([Description], [MAC_ID], [Device Type], [Location Code]) Values ('" &amp; C19 &amp; "', '" &amp; AB8 &amp; "', '300', '" &amp; $E$4 &amp; "')","")</f>
        <v/>
      </c>
    </row>
    <row r="310" spans="1:13">
      <c r="A310" s="6"/>
      <c r="B310" s="3"/>
      <c r="C310" s="3"/>
      <c r="D310" s="3"/>
      <c r="E310" s="3"/>
      <c r="F310" s="3"/>
      <c r="G310" s="3"/>
      <c r="H310" s="3"/>
      <c r="I310" s="3"/>
      <c r="M310" s="3" t="str">
        <f>IF(AC8&lt;&gt;"","UPDATE dbo.DC_OnlineDevices SET [Description] = '" &amp; E12 &amp; "', [Device Type] = '200', [Location Code] = '" &amp; $E$4 &amp; "'  WHERE [MAC_ID] = '" &amp; AC8 &amp; "' IF @@ROWCOUNT = 0 Insert Into dbo.DC_OnlineDevices ([Description], [MAC_ID], [Device Type], [Location Code]) Values ('" &amp; E12 &amp; "', '" &amp; AC8 &amp; "', '200', '" &amp; $E$4 &amp; "')","")</f>
        <v>UPDATE dbo.DC_OnlineDevices SET [Description] = 'Teller 1', [Device Type] = '200', [Location Code] = '55'  WHERE [MAC_ID] = '0040B38CC29D' IF @@ROWCOUNT = 0 Insert Into dbo.DC_OnlineDevices ([Description], [MAC_ID], [Device Type], [Location Code]) Values ('Teller 1', '0040B38CC29D', '200', '55')</v>
      </c>
    </row>
    <row r="311" spans="1:13">
      <c r="A311" s="6"/>
      <c r="B311" s="3"/>
      <c r="C311" s="3"/>
      <c r="D311" s="3"/>
      <c r="E311" s="3"/>
      <c r="F311" s="3"/>
      <c r="G311" s="3"/>
      <c r="H311" s="3"/>
      <c r="I311" s="3"/>
      <c r="M311" s="3" t="str">
        <f>IF(AD8&lt;&gt;"","UPDATE dbo.DC_OnlineDevices SET [Description] = '" &amp; E13 &amp; "', [Device Type] = '200', [Location Code] = '" &amp; $E$4 &amp; "'  WHERE [MAC_ID] = '" &amp; AD8 &amp; "' IF @@ROWCOUNT = 0 Insert Into dbo.DC_OnlineDevices ([Description], [MAC_ID], [Device Type], [Location Code]) Values ('" &amp; E13 &amp; "', '" &amp; AD8 &amp; "', '200', '" &amp; $E$4 &amp; "')","")</f>
        <v>UPDATE dbo.DC_OnlineDevices SET [Description] = 'Teller 2', [Device Type] = '200', [Location Code] = '55'  WHERE [MAC_ID] = '0040B38C0B3E' IF @@ROWCOUNT = 0 Insert Into dbo.DC_OnlineDevices ([Description], [MAC_ID], [Device Type], [Location Code]) Values ('Teller 2', '0040B38C0B3E', '200', '55')</v>
      </c>
    </row>
    <row r="312" spans="1:13">
      <c r="A312" s="6"/>
      <c r="B312" s="3"/>
      <c r="C312" s="3"/>
      <c r="D312" s="3"/>
      <c r="E312" s="3"/>
      <c r="F312" s="3"/>
      <c r="G312" s="3"/>
      <c r="H312" s="3"/>
      <c r="I312" s="3"/>
      <c r="M312" s="3" t="str">
        <f>IF(AE8&lt;&gt;"","UPDATE dbo.DC_OnlineDevices SET [Description] = '" &amp; E14 &amp; "', [Device Type] = '200', [Location Code] = '" &amp; $E$4 &amp; "'  WHERE [MAC_ID] = '" &amp; AE8 &amp; "' IF @@ROWCOUNT = 0 Insert Into dbo.DC_OnlineDevices ([Description], [MAC_ID], [Device Type], [Location Code]) Values ('" &amp; E14 &amp; "', '" &amp; AE8 &amp; "', '200', '" &amp; $E$4 &amp; "')","")</f>
        <v/>
      </c>
    </row>
    <row r="313" spans="1:13">
      <c r="A313" s="6"/>
      <c r="B313" s="3"/>
      <c r="C313" s="3"/>
      <c r="D313" s="3"/>
      <c r="E313" s="3"/>
      <c r="F313" s="3"/>
      <c r="G313" s="3"/>
      <c r="H313" s="3"/>
      <c r="I313" s="3"/>
      <c r="M313" s="3" t="str">
        <f>IF(AF8&lt;&gt;"","UPDATE dbo.DC_OnlineDevices SET [Description] = '" &amp; E15 &amp; "', [Device Type] = '200', [Location Code] = '" &amp; $E$4 &amp; "'  WHERE [MAC_ID] = '" &amp; AF8 &amp; "' IF @@ROWCOUNT = 0 Insert Into dbo.DC_OnlineDevices ([Description], [MAC_ID], [Device Type], [Location Code]) Values ('" &amp; E15 &amp; "', '" &amp; AF8 &amp; "', '200', '" &amp; $E$4 &amp; "')","")</f>
        <v/>
      </c>
    </row>
    <row r="314" spans="1:13">
      <c r="A314" s="6"/>
      <c r="B314" s="3"/>
      <c r="C314" s="3"/>
      <c r="D314" s="3"/>
      <c r="E314" s="3"/>
      <c r="F314" s="3"/>
      <c r="G314" s="3"/>
      <c r="H314" s="3"/>
      <c r="I314" s="3"/>
      <c r="M314" s="3" t="str">
        <f>IF(AG8&lt;&gt;"","UPDATE dbo.DC_OnlineDevices SET [Description] = '" &amp; E16 &amp; "', [Device Type] = '200', [Location Code] = '" &amp; $E$4 &amp; "'  WHERE [MAC_ID] = '" &amp; AG8 &amp; "' IF @@ROWCOUNT = 0 Insert Into dbo.DC_OnlineDevices ([Description], [MAC_ID], [Device Type], [Location Code]) Values ('" &amp; E16 &amp; "', '" &amp; AG8 &amp; "', '200', '" &amp; $E$4 &amp; "')","")</f>
        <v/>
      </c>
    </row>
    <row r="315" spans="1:13">
      <c r="A315" s="6"/>
      <c r="B315" s="3"/>
      <c r="C315" s="3"/>
      <c r="D315" s="3"/>
      <c r="E315" s="3"/>
      <c r="F315" s="3"/>
      <c r="G315" s="3"/>
      <c r="H315" s="3"/>
      <c r="I315" s="3"/>
      <c r="M315" s="3" t="str">
        <f>IF(AH8&lt;&gt;"","UPDATE dbo.DC_OnlineDevices SET [Description] = '" &amp; E17 &amp; "', [Device Type] = '200', [Location Code] = '" &amp; $E$4 &amp; "'  WHERE [MAC_ID] = '" &amp; AH8 &amp; "' IF @@ROWCOUNT = 0 Insert Into dbo.DC_OnlineDevices ([Description], [MAC_ID], [Device Type], [Location Code]) Values ('" &amp; E17 &amp; "', '" &amp; AH8 &amp; "', '200', '" &amp; $E$4 &amp; "')","")</f>
        <v/>
      </c>
    </row>
    <row r="316" spans="1:13">
      <c r="A316" s="6"/>
      <c r="B316" s="3"/>
      <c r="C316" s="3"/>
      <c r="D316" s="3"/>
      <c r="E316" s="3"/>
      <c r="F316" s="3"/>
      <c r="G316" s="3"/>
      <c r="H316" s="3"/>
      <c r="I316" s="3"/>
      <c r="M316" s="3" t="str">
        <f>IF(AI8&lt;&gt;"","UPDATE dbo.DC_OnlineDevices SET [Description] = '" &amp; E18 &amp; "', [Device Type] = '200', [Location Code] = '" &amp; $E$4 &amp; "'  WHERE [MAC_ID] = '" &amp; AI8 &amp; "' IF @@ROWCOUNT = 0 Insert Into dbo.DC_OnlineDevices ([Description], [MAC_ID], [Device Type], [Location Code]) Values ('" &amp; E18 &amp; "', '" &amp; AI8 &amp; "', '200', '" &amp; $E$4 &amp; "')","")</f>
        <v/>
      </c>
    </row>
    <row r="317" spans="1:13">
      <c r="A317" s="6"/>
      <c r="B317" s="3"/>
      <c r="C317" s="3"/>
      <c r="D317" s="3"/>
      <c r="E317" s="3"/>
      <c r="F317" s="3"/>
      <c r="G317" s="3"/>
      <c r="H317" s="3"/>
      <c r="I317" s="3"/>
      <c r="M317" s="3" t="str">
        <f>IF(AJ8&lt;&gt;"","UPDATE dbo.DC_OnlineDevices SET [Description] = '" &amp; E19 &amp; "', [Device Type] = '200', [Location Code] = '" &amp; $E$4 &amp; "'  WHERE [MAC_ID] = '" &amp; AJ8 &amp; "' IF @@ROWCOUNT = 0 Insert Into dbo.DC_OnlineDevices ([Description], [MAC_ID], [Device Type], [Location Code]) Values ('" &amp; E19 &amp; "', '" &amp; AJ8 &amp; "', '200', '" &amp; $E$4 &amp; "')","")</f>
        <v/>
      </c>
    </row>
    <row r="318" spans="1:13">
      <c r="A318" s="6"/>
      <c r="B318" s="3"/>
      <c r="C318" s="3"/>
      <c r="D318" s="3"/>
      <c r="E318" s="3"/>
      <c r="F318" s="3"/>
      <c r="G318" s="3"/>
      <c r="H318" s="3"/>
      <c r="I318" s="3"/>
    </row>
    <row r="319" spans="1:13">
      <c r="A319" s="6"/>
      <c r="B319" s="3"/>
      <c r="C319" s="3"/>
      <c r="D319" s="3"/>
      <c r="E319" s="3"/>
      <c r="F319" s="3"/>
      <c r="G319" s="3"/>
      <c r="H319" s="3"/>
      <c r="I319" s="3"/>
    </row>
    <row r="320" spans="1:13">
      <c r="A320" s="6"/>
      <c r="B320" s="3"/>
      <c r="C320" s="3"/>
      <c r="D320" s="3"/>
      <c r="E320" s="3"/>
      <c r="F320" s="3"/>
      <c r="G320" s="3"/>
      <c r="H320" s="3"/>
      <c r="I320" s="3"/>
    </row>
    <row r="321" spans="1:9">
      <c r="A321" s="6"/>
      <c r="B321" s="3"/>
      <c r="C321" s="3"/>
      <c r="D321" s="3"/>
      <c r="E321" s="3"/>
      <c r="F321" s="3"/>
      <c r="G321" s="3"/>
      <c r="H321" s="3"/>
      <c r="I321" s="3"/>
    </row>
    <row r="322" spans="1:9">
      <c r="A322" s="6"/>
      <c r="B322" s="3"/>
      <c r="C322" s="3"/>
      <c r="D322" s="3"/>
      <c r="E322" s="3"/>
      <c r="F322" s="3"/>
      <c r="G322" s="3"/>
      <c r="H322" s="3"/>
      <c r="I322" s="3"/>
    </row>
    <row r="323" spans="1:9">
      <c r="A323" s="6"/>
      <c r="B323" s="3"/>
      <c r="C323" s="3"/>
      <c r="D323" s="3"/>
      <c r="E323" s="3"/>
      <c r="F323" s="3"/>
      <c r="G323" s="3"/>
      <c r="H323" s="3"/>
      <c r="I323" s="3"/>
    </row>
    <row r="324" spans="1:9">
      <c r="A324" s="6"/>
      <c r="B324" s="3"/>
      <c r="C324" s="3"/>
      <c r="D324" s="3"/>
      <c r="E324" s="3"/>
      <c r="F324" s="3"/>
      <c r="G324" s="3"/>
      <c r="H324" s="3"/>
      <c r="I324" s="3"/>
    </row>
    <row r="325" spans="1:9">
      <c r="A325" s="6"/>
      <c r="B325" s="3"/>
      <c r="C325" s="3"/>
      <c r="D325" s="3"/>
      <c r="E325" s="3"/>
      <c r="F325" s="3"/>
      <c r="G325" s="3"/>
      <c r="H325" s="3"/>
      <c r="I325" s="3"/>
    </row>
    <row r="326" spans="1:9">
      <c r="A326" s="6"/>
      <c r="B326" s="3"/>
      <c r="C326" s="3"/>
      <c r="D326" s="3"/>
      <c r="E326" s="3"/>
      <c r="F326" s="3"/>
      <c r="G326" s="3"/>
      <c r="H326" s="3"/>
      <c r="I326" s="3"/>
    </row>
    <row r="327" spans="1:9">
      <c r="A327" s="6"/>
      <c r="B327" s="3"/>
      <c r="C327" s="3"/>
      <c r="D327" s="3"/>
      <c r="E327" s="3"/>
      <c r="F327" s="3"/>
      <c r="G327" s="3"/>
      <c r="H327" s="3"/>
      <c r="I327" s="3"/>
    </row>
    <row r="328" spans="1:9">
      <c r="A328" s="6"/>
      <c r="B328" s="3"/>
      <c r="C328" s="3"/>
      <c r="D328" s="3"/>
      <c r="E328" s="3"/>
      <c r="F328" s="3"/>
      <c r="G328" s="3"/>
      <c r="H328" s="3"/>
      <c r="I328" s="3"/>
    </row>
    <row r="329" spans="1:9">
      <c r="A329" s="6"/>
      <c r="B329" s="3"/>
      <c r="C329" s="3"/>
      <c r="D329" s="3"/>
      <c r="E329" s="3"/>
      <c r="F329" s="3"/>
      <c r="G329" s="3"/>
      <c r="H329" s="3"/>
      <c r="I329" s="3"/>
    </row>
    <row r="330" spans="1:9">
      <c r="A330" s="6"/>
      <c r="B330" s="3"/>
      <c r="C330" s="3"/>
      <c r="D330" s="3"/>
      <c r="E330" s="3"/>
      <c r="F330" s="3"/>
      <c r="G330" s="3"/>
      <c r="H330" s="3"/>
      <c r="I330" s="3"/>
    </row>
    <row r="331" spans="1:9">
      <c r="A331" s="6"/>
      <c r="B331" s="3"/>
      <c r="C331" s="3"/>
      <c r="D331" s="3"/>
      <c r="E331" s="3"/>
      <c r="F331" s="3"/>
      <c r="G331" s="3"/>
      <c r="H331" s="3"/>
      <c r="I331" s="3"/>
    </row>
    <row r="332" spans="1:9">
      <c r="A332" s="6"/>
      <c r="B332" s="3"/>
      <c r="C332" s="3"/>
      <c r="D332" s="3"/>
      <c r="E332" s="3"/>
      <c r="F332" s="3"/>
      <c r="G332" s="3"/>
      <c r="H332" s="3"/>
      <c r="I332" s="3"/>
    </row>
    <row r="333" spans="1:9">
      <c r="A333" s="6"/>
      <c r="B333" s="3"/>
      <c r="C333" s="3"/>
      <c r="D333" s="3"/>
      <c r="E333" s="3"/>
      <c r="F333" s="3"/>
      <c r="G333" s="3"/>
      <c r="H333" s="3"/>
      <c r="I333" s="3"/>
    </row>
    <row r="334" spans="1:9">
      <c r="A334" s="6"/>
      <c r="B334" s="3"/>
      <c r="C334" s="3"/>
      <c r="D334" s="3"/>
      <c r="E334" s="3"/>
      <c r="F334" s="3"/>
      <c r="G334" s="3"/>
      <c r="H334" s="3"/>
      <c r="I334" s="3"/>
    </row>
    <row r="335" spans="1:9">
      <c r="A335" s="6"/>
      <c r="B335" s="3"/>
      <c r="C335" s="3"/>
      <c r="D335" s="3"/>
      <c r="E335" s="3"/>
      <c r="F335" s="3"/>
      <c r="G335" s="3"/>
      <c r="H335" s="3"/>
      <c r="I335" s="3"/>
    </row>
    <row r="336" spans="1:9">
      <c r="A336" s="6"/>
      <c r="B336" s="3"/>
      <c r="C336" s="3"/>
      <c r="D336" s="3"/>
      <c r="E336" s="3"/>
      <c r="F336" s="3"/>
      <c r="G336" s="3"/>
      <c r="H336" s="3"/>
      <c r="I336" s="3"/>
    </row>
    <row r="337" spans="1:9">
      <c r="A337" s="6"/>
      <c r="B337" s="3"/>
      <c r="C337" s="3"/>
      <c r="D337" s="3"/>
      <c r="E337" s="3"/>
      <c r="F337" s="3"/>
      <c r="G337" s="3"/>
      <c r="H337" s="3"/>
      <c r="I337" s="3"/>
    </row>
    <row r="338" spans="1:9">
      <c r="A338" s="6"/>
      <c r="B338" s="3"/>
      <c r="C338" s="3"/>
      <c r="D338" s="3"/>
      <c r="E338" s="3"/>
      <c r="F338" s="3"/>
      <c r="G338" s="3"/>
      <c r="H338" s="3"/>
      <c r="I338" s="3"/>
    </row>
    <row r="339" spans="1:9">
      <c r="A339" s="6"/>
      <c r="B339" s="3"/>
      <c r="C339" s="3"/>
      <c r="D339" s="3"/>
      <c r="E339" s="3"/>
      <c r="F339" s="3"/>
      <c r="G339" s="3"/>
      <c r="H339" s="3"/>
      <c r="I339" s="3"/>
    </row>
    <row r="340" spans="1:9">
      <c r="A340" s="6"/>
      <c r="B340" s="3"/>
      <c r="C340" s="3"/>
      <c r="D340" s="3"/>
      <c r="E340" s="3"/>
      <c r="F340" s="3"/>
      <c r="G340" s="3"/>
      <c r="H340" s="3"/>
      <c r="I340" s="3"/>
    </row>
    <row r="341" spans="1:9">
      <c r="A341" s="6"/>
      <c r="B341" s="3"/>
      <c r="C341" s="3"/>
      <c r="D341" s="3"/>
      <c r="E341" s="3"/>
      <c r="F341" s="3"/>
      <c r="G341" s="3"/>
      <c r="H341" s="3"/>
      <c r="I341" s="3"/>
    </row>
    <row r="342" spans="1:9">
      <c r="A342" s="6"/>
      <c r="B342" s="3"/>
      <c r="C342" s="3"/>
      <c r="D342" s="3"/>
      <c r="E342" s="3"/>
      <c r="F342" s="3"/>
      <c r="G342" s="3"/>
      <c r="H342" s="3"/>
      <c r="I342" s="3"/>
    </row>
    <row r="343" spans="1:9">
      <c r="A343" s="6"/>
      <c r="B343" s="3"/>
      <c r="C343" s="3"/>
      <c r="D343" s="3"/>
      <c r="E343" s="3"/>
      <c r="F343" s="3"/>
      <c r="G343" s="3"/>
      <c r="H343" s="3"/>
      <c r="I343" s="3"/>
    </row>
    <row r="344" spans="1:9">
      <c r="A344" s="6"/>
      <c r="B344" s="3"/>
      <c r="C344" s="3"/>
      <c r="D344" s="3"/>
      <c r="E344" s="3"/>
      <c r="F344" s="3"/>
      <c r="G344" s="3"/>
      <c r="H344" s="3"/>
      <c r="I344" s="3"/>
    </row>
    <row r="345" spans="1:9">
      <c r="A345" s="6"/>
      <c r="B345" s="3"/>
      <c r="C345" s="3"/>
      <c r="D345" s="3"/>
      <c r="E345" s="3"/>
      <c r="F345" s="3"/>
      <c r="G345" s="3"/>
      <c r="H345" s="3"/>
      <c r="I345" s="3"/>
    </row>
    <row r="346" spans="1:9">
      <c r="A346" s="6"/>
      <c r="B346" s="3"/>
      <c r="C346" s="3"/>
      <c r="D346" s="3"/>
      <c r="E346" s="3"/>
      <c r="F346" s="3"/>
      <c r="G346" s="3"/>
      <c r="H346" s="3"/>
      <c r="I346" s="3"/>
    </row>
    <row r="347" spans="1:9">
      <c r="A347" s="6"/>
      <c r="B347" s="3"/>
      <c r="C347" s="3"/>
      <c r="D347" s="3"/>
      <c r="E347" s="3"/>
      <c r="F347" s="3"/>
      <c r="G347" s="3"/>
      <c r="H347" s="3"/>
      <c r="I347" s="3"/>
    </row>
    <row r="348" spans="1:9">
      <c r="A348" s="6"/>
      <c r="B348" s="3"/>
      <c r="C348" s="3"/>
      <c r="D348" s="3"/>
      <c r="E348" s="3"/>
      <c r="F348" s="3"/>
      <c r="G348" s="3"/>
      <c r="H348" s="3"/>
      <c r="I348" s="3"/>
    </row>
    <row r="349" spans="1:9">
      <c r="A349" s="6"/>
      <c r="B349" s="3"/>
      <c r="C349" s="3"/>
      <c r="D349" s="3"/>
      <c r="E349" s="3"/>
      <c r="F349" s="3"/>
      <c r="G349" s="3"/>
      <c r="H349" s="3"/>
      <c r="I349" s="3"/>
    </row>
    <row r="350" spans="1:9">
      <c r="A350" s="6"/>
      <c r="B350" s="3"/>
      <c r="C350" s="3"/>
      <c r="D350" s="3"/>
      <c r="E350" s="3"/>
      <c r="F350" s="3"/>
      <c r="G350" s="3"/>
      <c r="H350" s="3"/>
      <c r="I350" s="3"/>
    </row>
    <row r="351" spans="1:9">
      <c r="A351" s="6"/>
      <c r="B351" s="3"/>
      <c r="C351" s="3"/>
      <c r="D351" s="3"/>
      <c r="E351" s="3"/>
      <c r="F351" s="3"/>
      <c r="G351" s="3"/>
      <c r="H351" s="3"/>
      <c r="I351" s="3"/>
    </row>
    <row r="352" spans="1:9">
      <c r="A352" s="6"/>
      <c r="B352" s="3"/>
      <c r="C352" s="3"/>
      <c r="D352" s="3"/>
      <c r="E352" s="3"/>
      <c r="F352" s="3"/>
      <c r="G352" s="3"/>
      <c r="H352" s="3"/>
      <c r="I352" s="3"/>
    </row>
    <row r="353" spans="1:9">
      <c r="A353" s="6"/>
      <c r="B353" s="3"/>
      <c r="C353" s="3"/>
      <c r="D353" s="3"/>
      <c r="E353" s="3"/>
      <c r="F353" s="3"/>
      <c r="G353" s="3"/>
      <c r="H353" s="3"/>
      <c r="I353" s="3"/>
    </row>
    <row r="354" spans="1:9">
      <c r="A354" s="6"/>
      <c r="B354" s="3"/>
      <c r="C354" s="3"/>
      <c r="D354" s="3"/>
      <c r="E354" s="3"/>
      <c r="F354" s="3"/>
      <c r="G354" s="3"/>
      <c r="H354" s="3"/>
      <c r="I354" s="3"/>
    </row>
    <row r="355" spans="1:9">
      <c r="A355" s="6"/>
      <c r="B355" s="3"/>
      <c r="C355" s="3"/>
      <c r="D355" s="3"/>
      <c r="E355" s="3"/>
      <c r="F355" s="3"/>
      <c r="G355" s="3"/>
      <c r="H355" s="3"/>
      <c r="I355" s="3"/>
    </row>
    <row r="356" spans="1:9">
      <c r="A356" s="6"/>
      <c r="B356" s="3"/>
      <c r="C356" s="3"/>
      <c r="D356" s="3"/>
      <c r="E356" s="3"/>
      <c r="F356" s="3"/>
      <c r="G356" s="3"/>
      <c r="H356" s="3"/>
      <c r="I356" s="3"/>
    </row>
    <row r="357" spans="1:9">
      <c r="A357" s="6"/>
      <c r="B357" s="3"/>
      <c r="C357" s="3"/>
      <c r="D357" s="3"/>
      <c r="E357" s="3"/>
      <c r="F357" s="3"/>
      <c r="G357" s="3"/>
      <c r="H357" s="3"/>
      <c r="I357" s="3"/>
    </row>
    <row r="358" spans="1:9">
      <c r="A358" s="6"/>
      <c r="B358" s="3"/>
      <c r="C358" s="3"/>
      <c r="D358" s="3"/>
      <c r="E358" s="3"/>
      <c r="F358" s="3"/>
      <c r="G358" s="3"/>
      <c r="H358" s="3"/>
      <c r="I358" s="3"/>
    </row>
    <row r="359" spans="1:9">
      <c r="A359" s="6"/>
      <c r="B359" s="3"/>
      <c r="C359" s="3"/>
      <c r="D359" s="3"/>
      <c r="E359" s="3"/>
      <c r="F359" s="3"/>
      <c r="G359" s="3"/>
      <c r="H359" s="3"/>
      <c r="I359" s="3"/>
    </row>
    <row r="360" spans="1:9">
      <c r="A360" s="6"/>
      <c r="B360" s="3"/>
      <c r="C360" s="3"/>
      <c r="D360" s="3"/>
      <c r="E360" s="3"/>
      <c r="F360" s="3"/>
      <c r="G360" s="3"/>
      <c r="H360" s="3"/>
      <c r="I360" s="3"/>
    </row>
    <row r="361" spans="1:9">
      <c r="A361" s="6"/>
      <c r="B361" s="3"/>
      <c r="C361" s="3"/>
      <c r="D361" s="3"/>
      <c r="E361" s="3"/>
      <c r="F361" s="3"/>
      <c r="G361" s="3"/>
      <c r="H361" s="3"/>
      <c r="I361" s="3"/>
    </row>
    <row r="362" spans="1:9">
      <c r="A362" s="6"/>
      <c r="B362" s="3"/>
      <c r="C362" s="3"/>
      <c r="D362" s="3"/>
      <c r="E362" s="3"/>
      <c r="F362" s="3"/>
      <c r="G362" s="3"/>
      <c r="H362" s="3"/>
      <c r="I362" s="3"/>
    </row>
    <row r="363" spans="1:9">
      <c r="A363" s="6"/>
      <c r="B363" s="3"/>
      <c r="C363" s="3"/>
      <c r="D363" s="3"/>
      <c r="E363" s="3"/>
      <c r="F363" s="3"/>
      <c r="G363" s="3"/>
      <c r="H363" s="3"/>
      <c r="I363" s="3"/>
    </row>
    <row r="364" spans="1:9">
      <c r="A364" s="6"/>
      <c r="B364" s="3"/>
      <c r="C364" s="3"/>
      <c r="D364" s="3"/>
      <c r="E364" s="3"/>
      <c r="F364" s="3"/>
      <c r="G364" s="3"/>
      <c r="H364" s="3"/>
      <c r="I364" s="3"/>
    </row>
    <row r="365" spans="1:9">
      <c r="A365" s="6"/>
      <c r="B365" s="3"/>
      <c r="C365" s="3"/>
      <c r="D365" s="3"/>
      <c r="E365" s="3"/>
      <c r="F365" s="3"/>
      <c r="G365" s="3"/>
      <c r="H365" s="3"/>
      <c r="I365" s="3"/>
    </row>
    <row r="366" spans="1:9">
      <c r="A366" s="6"/>
      <c r="B366" s="3"/>
      <c r="C366" s="3"/>
      <c r="D366" s="3"/>
      <c r="E366" s="3"/>
      <c r="F366" s="3"/>
      <c r="G366" s="3"/>
      <c r="H366" s="3"/>
      <c r="I366" s="3"/>
    </row>
    <row r="367" spans="1:9">
      <c r="A367" s="6"/>
      <c r="B367" s="3"/>
      <c r="C367" s="3"/>
      <c r="D367" s="3"/>
      <c r="E367" s="3"/>
      <c r="F367" s="3"/>
      <c r="G367" s="3"/>
      <c r="H367" s="3"/>
      <c r="I367" s="3"/>
    </row>
    <row r="368" spans="1:9">
      <c r="A368" s="6"/>
      <c r="B368" s="3"/>
      <c r="C368" s="3"/>
      <c r="D368" s="3"/>
      <c r="E368" s="3"/>
      <c r="F368" s="3"/>
      <c r="G368" s="3"/>
      <c r="H368" s="3"/>
      <c r="I368" s="3"/>
    </row>
    <row r="369" spans="1:9">
      <c r="A369" s="6"/>
      <c r="B369" s="3"/>
      <c r="C369" s="3"/>
      <c r="D369" s="3"/>
      <c r="E369" s="3"/>
      <c r="F369" s="3"/>
      <c r="G369" s="3"/>
      <c r="H369" s="3"/>
      <c r="I369" s="3"/>
    </row>
    <row r="370" spans="1:9">
      <c r="A370" s="6"/>
      <c r="B370" s="3"/>
      <c r="C370" s="3"/>
      <c r="D370" s="3"/>
      <c r="E370" s="3"/>
      <c r="F370" s="3"/>
      <c r="G370" s="3"/>
      <c r="H370" s="3"/>
      <c r="I370" s="3"/>
    </row>
    <row r="371" spans="1:9">
      <c r="A371" s="6"/>
      <c r="B371" s="3"/>
      <c r="C371" s="3"/>
      <c r="D371" s="3"/>
      <c r="E371" s="3"/>
      <c r="F371" s="3"/>
      <c r="G371" s="3"/>
      <c r="H371" s="3"/>
      <c r="I371" s="3"/>
    </row>
    <row r="372" spans="1:9">
      <c r="A372" s="6"/>
      <c r="B372" s="3"/>
      <c r="C372" s="3"/>
      <c r="D372" s="3"/>
      <c r="E372" s="3"/>
      <c r="F372" s="3"/>
      <c r="G372" s="3"/>
      <c r="H372" s="3"/>
      <c r="I372" s="3"/>
    </row>
    <row r="373" spans="1:9">
      <c r="A373" s="6"/>
      <c r="B373" s="3"/>
      <c r="C373" s="3"/>
      <c r="D373" s="3"/>
      <c r="E373" s="3"/>
      <c r="F373" s="3"/>
      <c r="G373" s="3"/>
      <c r="H373" s="3"/>
      <c r="I373" s="3"/>
    </row>
    <row r="374" spans="1:9">
      <c r="A374" s="6"/>
      <c r="B374" s="3"/>
      <c r="C374" s="3"/>
      <c r="D374" s="3"/>
      <c r="E374" s="3"/>
      <c r="F374" s="3"/>
      <c r="G374" s="3"/>
      <c r="H374" s="3"/>
      <c r="I374" s="3"/>
    </row>
    <row r="375" spans="1:9">
      <c r="A375" s="6"/>
      <c r="B375" s="3"/>
      <c r="C375" s="3"/>
      <c r="D375" s="3"/>
      <c r="E375" s="3"/>
      <c r="F375" s="3"/>
      <c r="G375" s="3"/>
      <c r="H375" s="3"/>
      <c r="I375" s="3"/>
    </row>
    <row r="376" spans="1:9">
      <c r="A376" s="6"/>
      <c r="B376" s="3"/>
      <c r="C376" s="3"/>
      <c r="D376" s="3"/>
      <c r="E376" s="3"/>
      <c r="F376" s="3"/>
      <c r="G376" s="3"/>
      <c r="H376" s="3"/>
      <c r="I376" s="3"/>
    </row>
    <row r="377" spans="1:9">
      <c r="A377" s="6"/>
      <c r="B377" s="3"/>
      <c r="C377" s="3"/>
      <c r="D377" s="3"/>
      <c r="E377" s="3"/>
      <c r="F377" s="3"/>
      <c r="G377" s="3"/>
      <c r="H377" s="3"/>
      <c r="I377" s="3"/>
    </row>
    <row r="378" spans="1:9">
      <c r="A378" s="6"/>
      <c r="B378" s="3"/>
      <c r="C378" s="3"/>
      <c r="D378" s="3"/>
      <c r="E378" s="3"/>
      <c r="F378" s="3"/>
      <c r="G378" s="3"/>
      <c r="H378" s="3"/>
      <c r="I378" s="3"/>
    </row>
    <row r="379" spans="1:9">
      <c r="A379" s="6"/>
      <c r="B379" s="3"/>
      <c r="C379" s="3"/>
      <c r="D379" s="3"/>
      <c r="E379" s="3"/>
      <c r="F379" s="3"/>
      <c r="G379" s="3"/>
      <c r="H379" s="3"/>
      <c r="I379" s="3"/>
    </row>
    <row r="380" spans="1:9">
      <c r="A380" s="6"/>
      <c r="B380" s="3"/>
      <c r="C380" s="3"/>
      <c r="D380" s="3"/>
      <c r="E380" s="3"/>
      <c r="F380" s="3"/>
      <c r="G380" s="3"/>
      <c r="H380" s="3"/>
      <c r="I380" s="3"/>
    </row>
    <row r="381" spans="1:9">
      <c r="A381" s="6"/>
      <c r="B381" s="3"/>
      <c r="C381" s="3"/>
      <c r="D381" s="3"/>
      <c r="E381" s="3"/>
      <c r="F381" s="3"/>
      <c r="G381" s="3"/>
      <c r="H381" s="3"/>
      <c r="I381" s="3"/>
    </row>
    <row r="382" spans="1:9">
      <c r="A382" s="6"/>
      <c r="B382" s="3"/>
      <c r="C382" s="3"/>
      <c r="D382" s="3"/>
      <c r="E382" s="3"/>
      <c r="F382" s="3"/>
      <c r="G382" s="3"/>
      <c r="H382" s="3"/>
      <c r="I382" s="3"/>
    </row>
    <row r="383" spans="1:9">
      <c r="A383" s="6"/>
      <c r="B383" s="3"/>
      <c r="C383" s="3"/>
      <c r="D383" s="3"/>
      <c r="E383" s="3"/>
      <c r="F383" s="3"/>
      <c r="G383" s="3"/>
      <c r="H383" s="3"/>
      <c r="I383" s="3"/>
    </row>
    <row r="384" spans="1:9">
      <c r="A384" s="6"/>
      <c r="B384" s="3"/>
      <c r="C384" s="3"/>
      <c r="D384" s="3"/>
      <c r="E384" s="3"/>
      <c r="F384" s="3"/>
      <c r="G384" s="3"/>
      <c r="H384" s="3"/>
      <c r="I384" s="3"/>
    </row>
    <row r="385" spans="1:9">
      <c r="A385" s="6"/>
      <c r="B385" s="3"/>
      <c r="C385" s="3"/>
      <c r="D385" s="3"/>
      <c r="E385" s="3"/>
      <c r="F385" s="3"/>
      <c r="G385" s="3"/>
      <c r="H385" s="3"/>
      <c r="I385" s="3"/>
    </row>
    <row r="386" spans="1:9">
      <c r="A386" s="6"/>
      <c r="B386" s="3"/>
      <c r="C386" s="3"/>
      <c r="D386" s="3"/>
      <c r="E386" s="3"/>
      <c r="F386" s="3"/>
      <c r="G386" s="3"/>
      <c r="H386" s="3"/>
      <c r="I386" s="3"/>
    </row>
    <row r="387" spans="1:9">
      <c r="A387" s="6"/>
      <c r="B387" s="3"/>
      <c r="C387" s="3"/>
      <c r="D387" s="3"/>
      <c r="E387" s="3"/>
      <c r="F387" s="3"/>
      <c r="G387" s="3"/>
      <c r="H387" s="3"/>
      <c r="I387" s="3"/>
    </row>
    <row r="388" spans="1:9">
      <c r="A388" s="6"/>
      <c r="B388" s="3"/>
      <c r="C388" s="3"/>
      <c r="D388" s="3"/>
      <c r="E388" s="3"/>
      <c r="F388" s="3"/>
      <c r="G388" s="3"/>
      <c r="H388" s="3"/>
      <c r="I388" s="3"/>
    </row>
    <row r="389" spans="1:9">
      <c r="A389" s="6"/>
      <c r="B389" s="3"/>
      <c r="C389" s="3"/>
      <c r="D389" s="3"/>
      <c r="E389" s="3"/>
      <c r="F389" s="3"/>
      <c r="G389" s="3"/>
      <c r="H389" s="3"/>
      <c r="I389" s="3"/>
    </row>
    <row r="390" spans="1:9">
      <c r="A390" s="6"/>
      <c r="B390" s="3"/>
      <c r="C390" s="3"/>
      <c r="D390" s="3"/>
      <c r="E390" s="3"/>
      <c r="F390" s="3"/>
      <c r="G390" s="3"/>
      <c r="H390" s="3"/>
      <c r="I390" s="3"/>
    </row>
    <row r="391" spans="1:9">
      <c r="A391" s="6"/>
      <c r="B391" s="3"/>
      <c r="C391" s="3"/>
      <c r="D391" s="3"/>
      <c r="E391" s="3"/>
      <c r="F391" s="3"/>
      <c r="G391" s="3"/>
      <c r="H391" s="3"/>
      <c r="I391" s="3"/>
    </row>
    <row r="392" spans="1:9">
      <c r="A392" s="6"/>
      <c r="B392" s="3"/>
      <c r="C392" s="3"/>
      <c r="D392" s="3"/>
      <c r="E392" s="3"/>
      <c r="F392" s="3"/>
      <c r="G392" s="3"/>
      <c r="H392" s="3"/>
      <c r="I392" s="3"/>
    </row>
    <row r="393" spans="1:9">
      <c r="A393" s="6"/>
      <c r="B393" s="3"/>
      <c r="C393" s="3"/>
      <c r="D393" s="3"/>
      <c r="E393" s="3"/>
      <c r="F393" s="3"/>
      <c r="G393" s="3"/>
      <c r="H393" s="3"/>
      <c r="I393" s="3"/>
    </row>
    <row r="394" spans="1:9">
      <c r="A394" s="6"/>
      <c r="B394" s="3"/>
      <c r="C394" s="3"/>
      <c r="D394" s="3"/>
      <c r="E394" s="3"/>
      <c r="F394" s="3"/>
      <c r="G394" s="3"/>
      <c r="H394" s="3"/>
      <c r="I394" s="3"/>
    </row>
    <row r="395" spans="1:9">
      <c r="A395" s="6"/>
      <c r="B395" s="3"/>
      <c r="C395" s="3"/>
      <c r="D395" s="3"/>
      <c r="E395" s="3"/>
      <c r="F395" s="3"/>
      <c r="G395" s="3"/>
      <c r="H395" s="3"/>
      <c r="I395" s="3"/>
    </row>
    <row r="396" spans="1:9">
      <c r="A396" s="6"/>
      <c r="B396" s="3"/>
      <c r="C396" s="3"/>
      <c r="D396" s="3"/>
      <c r="E396" s="3"/>
      <c r="F396" s="3"/>
      <c r="G396" s="3"/>
      <c r="H396" s="3"/>
      <c r="I396" s="3"/>
    </row>
    <row r="397" spans="1:9">
      <c r="A397" s="6"/>
      <c r="B397" s="3"/>
      <c r="C397" s="3"/>
      <c r="D397" s="3"/>
      <c r="E397" s="3"/>
      <c r="F397" s="3"/>
      <c r="G397" s="3"/>
      <c r="H397" s="3"/>
      <c r="I397" s="3"/>
    </row>
    <row r="398" spans="1:9">
      <c r="A398" s="6"/>
      <c r="B398" s="3"/>
      <c r="C398" s="3"/>
      <c r="D398" s="3"/>
      <c r="E398" s="3"/>
      <c r="F398" s="3"/>
      <c r="G398" s="3"/>
      <c r="H398" s="3"/>
      <c r="I398" s="3"/>
    </row>
    <row r="399" spans="1:9">
      <c r="A399" s="6"/>
      <c r="B399" s="3"/>
      <c r="C399" s="3"/>
      <c r="D399" s="3"/>
      <c r="E399" s="3"/>
      <c r="F399" s="3"/>
      <c r="G399" s="3"/>
      <c r="H399" s="3"/>
      <c r="I399" s="3"/>
    </row>
    <row r="400" spans="1:9">
      <c r="A400" s="6"/>
      <c r="B400" s="3"/>
      <c r="C400" s="3"/>
      <c r="D400" s="3"/>
      <c r="E400" s="3"/>
      <c r="F400" s="3"/>
      <c r="G400" s="3"/>
      <c r="H400" s="3"/>
      <c r="I400" s="3"/>
    </row>
    <row r="401" spans="1:9">
      <c r="A401" s="6"/>
      <c r="B401" s="3"/>
      <c r="C401" s="3"/>
      <c r="D401" s="3"/>
      <c r="E401" s="3"/>
      <c r="F401" s="3"/>
      <c r="G401" s="3"/>
      <c r="H401" s="3"/>
      <c r="I401" s="3"/>
    </row>
    <row r="402" spans="1:9">
      <c r="A402" s="6"/>
      <c r="B402" s="3"/>
      <c r="C402" s="3"/>
      <c r="D402" s="3"/>
      <c r="E402" s="3"/>
      <c r="F402" s="3"/>
      <c r="G402" s="3"/>
      <c r="H402" s="3"/>
      <c r="I402" s="3"/>
    </row>
    <row r="403" spans="1:9">
      <c r="A403" s="6"/>
      <c r="B403" s="3"/>
      <c r="C403" s="3"/>
      <c r="D403" s="3"/>
      <c r="E403" s="3"/>
      <c r="F403" s="3"/>
      <c r="G403" s="3"/>
      <c r="H403" s="3"/>
      <c r="I403" s="3"/>
    </row>
    <row r="404" spans="1:9">
      <c r="A404" s="6"/>
      <c r="B404" s="3"/>
      <c r="C404" s="3"/>
      <c r="D404" s="3"/>
      <c r="E404" s="3"/>
      <c r="F404" s="3"/>
      <c r="G404" s="3"/>
      <c r="H404" s="3"/>
      <c r="I404" s="3"/>
    </row>
    <row r="405" spans="1:9">
      <c r="A405" s="6"/>
      <c r="B405" s="3"/>
      <c r="C405" s="3"/>
      <c r="D405" s="3"/>
      <c r="E405" s="3"/>
      <c r="F405" s="3"/>
      <c r="G405" s="3"/>
      <c r="H405" s="3"/>
      <c r="I405" s="3"/>
    </row>
    <row r="406" spans="1:9">
      <c r="A406" s="6"/>
      <c r="B406" s="3"/>
      <c r="C406" s="3"/>
      <c r="D406" s="3"/>
      <c r="E406" s="3"/>
      <c r="F406" s="3"/>
      <c r="G406" s="3"/>
      <c r="H406" s="3"/>
      <c r="I406" s="3"/>
    </row>
    <row r="407" spans="1:9">
      <c r="A407" s="6"/>
      <c r="B407" s="3"/>
      <c r="C407" s="3"/>
      <c r="D407" s="3"/>
      <c r="E407" s="3"/>
      <c r="F407" s="3"/>
      <c r="G407" s="3"/>
      <c r="H407" s="3"/>
      <c r="I407" s="3"/>
    </row>
    <row r="408" spans="1:9">
      <c r="A408" s="6"/>
      <c r="B408" s="3"/>
      <c r="C408" s="3"/>
      <c r="D408" s="3"/>
      <c r="E408" s="3"/>
      <c r="F408" s="3"/>
      <c r="G408" s="3"/>
      <c r="H408" s="3"/>
      <c r="I408" s="3"/>
    </row>
    <row r="409" spans="1:9">
      <c r="A409" s="6"/>
      <c r="B409" s="3"/>
      <c r="C409" s="3"/>
      <c r="D409" s="3"/>
      <c r="E409" s="3"/>
      <c r="F409" s="3"/>
      <c r="G409" s="3"/>
      <c r="H409" s="3"/>
      <c r="I409" s="3"/>
    </row>
    <row r="410" spans="1:9">
      <c r="A410" s="6"/>
      <c r="B410" s="3"/>
      <c r="C410" s="3"/>
      <c r="D410" s="3"/>
      <c r="E410" s="3"/>
      <c r="F410" s="3"/>
      <c r="G410" s="3"/>
      <c r="H410" s="3"/>
      <c r="I410" s="3"/>
    </row>
    <row r="411" spans="1:9">
      <c r="A411" s="6"/>
      <c r="B411" s="3"/>
      <c r="C411" s="3"/>
      <c r="D411" s="3"/>
      <c r="E411" s="3"/>
      <c r="F411" s="3"/>
      <c r="G411" s="3"/>
      <c r="H411" s="3"/>
      <c r="I411" s="3"/>
    </row>
    <row r="412" spans="1:9">
      <c r="A412" s="6"/>
      <c r="B412" s="3"/>
      <c r="C412" s="3"/>
      <c r="D412" s="3"/>
      <c r="E412" s="3"/>
      <c r="F412" s="3"/>
      <c r="G412" s="3"/>
      <c r="H412" s="3"/>
      <c r="I412" s="3"/>
    </row>
    <row r="413" spans="1:9">
      <c r="A413" s="6"/>
      <c r="B413" s="3"/>
      <c r="C413" s="3"/>
      <c r="D413" s="3"/>
      <c r="E413" s="3"/>
      <c r="F413" s="3"/>
      <c r="G413" s="3"/>
      <c r="H413" s="3"/>
      <c r="I413" s="3"/>
    </row>
    <row r="414" spans="1:9">
      <c r="A414" s="6"/>
      <c r="B414" s="3"/>
      <c r="C414" s="3"/>
      <c r="D414" s="3"/>
      <c r="E414" s="3"/>
      <c r="F414" s="3"/>
      <c r="G414" s="3"/>
      <c r="H414" s="3"/>
      <c r="I414" s="3"/>
    </row>
    <row r="415" spans="1:9">
      <c r="A415" s="6"/>
      <c r="B415" s="3"/>
      <c r="C415" s="3"/>
      <c r="D415" s="3"/>
      <c r="E415" s="3"/>
      <c r="F415" s="3"/>
      <c r="G415" s="3"/>
      <c r="H415" s="3"/>
      <c r="I415" s="3"/>
    </row>
    <row r="416" spans="1:9">
      <c r="A416" s="6"/>
      <c r="B416" s="3"/>
      <c r="C416" s="3"/>
      <c r="D416" s="3"/>
      <c r="E416" s="3"/>
      <c r="F416" s="3"/>
      <c r="G416" s="3"/>
      <c r="H416" s="3"/>
      <c r="I416" s="3"/>
    </row>
    <row r="417" spans="1:9">
      <c r="A417" s="6"/>
      <c r="B417" s="3"/>
      <c r="C417" s="3"/>
      <c r="D417" s="3"/>
      <c r="E417" s="3"/>
      <c r="F417" s="3"/>
      <c r="G417" s="3"/>
      <c r="H417" s="3"/>
      <c r="I417" s="3"/>
    </row>
    <row r="418" spans="1:9">
      <c r="A418" s="6"/>
      <c r="B418" s="3"/>
      <c r="C418" s="3"/>
      <c r="D418" s="3"/>
      <c r="E418" s="3"/>
      <c r="F418" s="3"/>
      <c r="G418" s="3"/>
      <c r="H418" s="3"/>
      <c r="I418" s="3"/>
    </row>
    <row r="419" spans="1:9">
      <c r="A419" s="6"/>
      <c r="B419" s="3"/>
      <c r="C419" s="3"/>
      <c r="D419" s="3"/>
      <c r="E419" s="3"/>
      <c r="F419" s="3"/>
      <c r="G419" s="3"/>
      <c r="H419" s="3"/>
      <c r="I419" s="3"/>
    </row>
    <row r="420" spans="1:9">
      <c r="A420" s="6"/>
      <c r="B420" s="3"/>
      <c r="C420" s="3"/>
      <c r="D420" s="3"/>
      <c r="E420" s="3"/>
      <c r="F420" s="3"/>
      <c r="G420" s="3"/>
      <c r="H420" s="3"/>
      <c r="I420" s="3"/>
    </row>
    <row r="421" spans="1:9">
      <c r="A421" s="6"/>
      <c r="B421" s="3"/>
      <c r="C421" s="3"/>
      <c r="D421" s="3"/>
      <c r="E421" s="3"/>
      <c r="F421" s="3"/>
      <c r="G421" s="3"/>
      <c r="H421" s="3"/>
      <c r="I421" s="3"/>
    </row>
    <row r="422" spans="1:9">
      <c r="A422" s="6"/>
      <c r="B422" s="3"/>
      <c r="C422" s="3"/>
      <c r="D422" s="3"/>
      <c r="E422" s="3"/>
      <c r="F422" s="3"/>
      <c r="G422" s="3"/>
      <c r="H422" s="3"/>
      <c r="I422" s="3"/>
    </row>
    <row r="423" spans="1:9">
      <c r="A423" s="6"/>
      <c r="B423" s="3"/>
      <c r="C423" s="3"/>
      <c r="D423" s="3"/>
      <c r="E423" s="3"/>
      <c r="F423" s="3"/>
      <c r="G423" s="3"/>
      <c r="H423" s="3"/>
      <c r="I423" s="3"/>
    </row>
    <row r="424" spans="1:9">
      <c r="A424" s="6"/>
      <c r="B424" s="3"/>
      <c r="C424" s="3"/>
      <c r="D424" s="3"/>
      <c r="E424" s="3"/>
      <c r="F424" s="3"/>
      <c r="G424" s="3"/>
      <c r="H424" s="3"/>
      <c r="I424" s="3"/>
    </row>
    <row r="425" spans="1:9">
      <c r="A425" s="6"/>
      <c r="B425" s="3"/>
      <c r="C425" s="3"/>
      <c r="D425" s="3"/>
      <c r="E425" s="3"/>
      <c r="F425" s="3"/>
      <c r="G425" s="3"/>
      <c r="H425" s="3"/>
      <c r="I425" s="3"/>
    </row>
    <row r="426" spans="1:9">
      <c r="A426" s="6"/>
      <c r="B426" s="3"/>
      <c r="C426" s="3"/>
      <c r="D426" s="3"/>
      <c r="E426" s="3"/>
      <c r="F426" s="3"/>
      <c r="G426" s="3"/>
      <c r="H426" s="3"/>
      <c r="I426" s="3"/>
    </row>
    <row r="427" spans="1:9">
      <c r="A427" s="6"/>
      <c r="B427" s="3"/>
      <c r="C427" s="3"/>
      <c r="D427" s="3"/>
      <c r="E427" s="3"/>
      <c r="F427" s="3"/>
      <c r="G427" s="3"/>
      <c r="H427" s="3"/>
      <c r="I427" s="3"/>
    </row>
    <row r="428" spans="1:9">
      <c r="A428" s="6"/>
      <c r="B428" s="3"/>
      <c r="C428" s="3"/>
      <c r="D428" s="3"/>
      <c r="E428" s="3"/>
      <c r="F428" s="3"/>
      <c r="G428" s="3"/>
      <c r="H428" s="3"/>
      <c r="I428" s="3"/>
    </row>
    <row r="429" spans="1:9">
      <c r="A429" s="6"/>
      <c r="B429" s="3"/>
      <c r="C429" s="3"/>
      <c r="D429" s="3"/>
      <c r="E429" s="3"/>
      <c r="F429" s="3"/>
      <c r="G429" s="3"/>
      <c r="H429" s="3"/>
      <c r="I429" s="3"/>
    </row>
    <row r="430" spans="1:9">
      <c r="A430" s="6"/>
      <c r="B430" s="3"/>
      <c r="C430" s="3"/>
      <c r="D430" s="3"/>
      <c r="E430" s="3"/>
      <c r="F430" s="3"/>
      <c r="G430" s="3"/>
      <c r="H430" s="3"/>
      <c r="I430" s="3"/>
    </row>
    <row r="431" spans="1:9">
      <c r="A431" s="6"/>
      <c r="B431" s="3"/>
      <c r="C431" s="3"/>
      <c r="D431" s="3"/>
      <c r="E431" s="3"/>
      <c r="F431" s="3"/>
      <c r="G431" s="3"/>
      <c r="H431" s="3"/>
      <c r="I431" s="3"/>
    </row>
    <row r="432" spans="1:9">
      <c r="A432" s="6"/>
      <c r="B432" s="3"/>
      <c r="C432" s="3"/>
      <c r="D432" s="3"/>
      <c r="E432" s="3"/>
      <c r="F432" s="3"/>
      <c r="G432" s="3"/>
      <c r="H432" s="3"/>
      <c r="I432" s="3"/>
    </row>
    <row r="433" spans="1:9">
      <c r="A433" s="6"/>
      <c r="B433" s="3"/>
      <c r="C433" s="3"/>
      <c r="D433" s="3"/>
      <c r="E433" s="3"/>
      <c r="F433" s="3"/>
      <c r="G433" s="3"/>
      <c r="H433" s="3"/>
      <c r="I433" s="3"/>
    </row>
    <row r="434" spans="1:9">
      <c r="A434" s="6"/>
      <c r="B434" s="3"/>
      <c r="C434" s="3"/>
      <c r="D434" s="3"/>
      <c r="E434" s="3"/>
      <c r="F434" s="3"/>
      <c r="G434" s="3"/>
      <c r="H434" s="3"/>
      <c r="I434" s="3"/>
    </row>
    <row r="435" spans="1:9">
      <c r="A435" s="6"/>
      <c r="B435" s="3"/>
      <c r="C435" s="3"/>
      <c r="D435" s="3"/>
      <c r="E435" s="3"/>
      <c r="F435" s="3"/>
      <c r="G435" s="3"/>
      <c r="H435" s="3"/>
      <c r="I435" s="3"/>
    </row>
    <row r="436" spans="1:9">
      <c r="A436" s="6"/>
      <c r="B436" s="3"/>
      <c r="C436" s="3"/>
      <c r="D436" s="3"/>
      <c r="E436" s="3"/>
      <c r="F436" s="3"/>
      <c r="G436" s="3"/>
      <c r="H436" s="3"/>
      <c r="I436" s="3"/>
    </row>
    <row r="437" spans="1:9">
      <c r="A437" s="6"/>
      <c r="B437" s="3"/>
      <c r="C437" s="3"/>
      <c r="D437" s="3"/>
      <c r="E437" s="3"/>
      <c r="F437" s="3"/>
      <c r="G437" s="3"/>
      <c r="H437" s="3"/>
      <c r="I437" s="3"/>
    </row>
    <row r="438" spans="1:9">
      <c r="A438" s="6"/>
      <c r="B438" s="3"/>
      <c r="C438" s="3"/>
      <c r="D438" s="3"/>
      <c r="E438" s="3"/>
      <c r="F438" s="3"/>
      <c r="G438" s="3"/>
      <c r="H438" s="3"/>
      <c r="I438" s="3"/>
    </row>
    <row r="439" spans="1:9">
      <c r="A439" s="6"/>
      <c r="B439" s="3"/>
      <c r="C439" s="3"/>
      <c r="D439" s="3"/>
      <c r="E439" s="3"/>
      <c r="F439" s="3"/>
      <c r="G439" s="3"/>
      <c r="H439" s="3"/>
      <c r="I439" s="3"/>
    </row>
    <row r="440" spans="1:9">
      <c r="A440" s="6"/>
      <c r="B440" s="3"/>
      <c r="C440" s="3"/>
      <c r="D440" s="3"/>
      <c r="E440" s="3"/>
      <c r="F440" s="3"/>
      <c r="G440" s="3"/>
      <c r="H440" s="3"/>
      <c r="I440" s="3"/>
    </row>
    <row r="441" spans="1:9">
      <c r="A441" s="6"/>
      <c r="B441" s="3"/>
      <c r="C441" s="3"/>
      <c r="D441" s="3"/>
      <c r="E441" s="3"/>
      <c r="F441" s="3"/>
      <c r="G441" s="3"/>
      <c r="H441" s="3"/>
      <c r="I441" s="3"/>
    </row>
    <row r="442" spans="1:9">
      <c r="A442" s="6"/>
      <c r="B442" s="3"/>
      <c r="C442" s="3"/>
      <c r="D442" s="3"/>
      <c r="E442" s="3"/>
      <c r="F442" s="3"/>
      <c r="G442" s="3"/>
      <c r="H442" s="3"/>
      <c r="I442" s="3"/>
    </row>
    <row r="443" spans="1:9">
      <c r="A443" s="6"/>
      <c r="B443" s="3"/>
      <c r="C443" s="3"/>
      <c r="D443" s="3"/>
      <c r="E443" s="3"/>
      <c r="F443" s="3"/>
      <c r="G443" s="3"/>
      <c r="H443" s="3"/>
      <c r="I443" s="3"/>
    </row>
    <row r="444" spans="1:9">
      <c r="A444" s="6"/>
      <c r="B444" s="3"/>
      <c r="C444" s="3"/>
      <c r="D444" s="3"/>
      <c r="E444" s="3"/>
      <c r="F444" s="3"/>
      <c r="G444" s="3"/>
      <c r="H444" s="3"/>
      <c r="I444" s="3"/>
    </row>
    <row r="445" spans="1:9">
      <c r="A445" s="6"/>
      <c r="B445" s="3"/>
      <c r="C445" s="3"/>
      <c r="D445" s="3"/>
      <c r="E445" s="3"/>
      <c r="F445" s="3"/>
      <c r="G445" s="3"/>
      <c r="H445" s="3"/>
      <c r="I445" s="3"/>
    </row>
    <row r="446" spans="1:9">
      <c r="A446" s="6"/>
      <c r="B446" s="3"/>
      <c r="C446" s="3"/>
      <c r="D446" s="3"/>
      <c r="E446" s="3"/>
      <c r="F446" s="3"/>
      <c r="G446" s="3"/>
      <c r="H446" s="3"/>
      <c r="I446" s="3"/>
    </row>
    <row r="447" spans="1:9">
      <c r="A447" s="6"/>
      <c r="B447" s="3"/>
      <c r="C447" s="3"/>
      <c r="D447" s="3"/>
      <c r="E447" s="3"/>
      <c r="F447" s="3"/>
      <c r="G447" s="3"/>
      <c r="H447" s="3"/>
      <c r="I447" s="3"/>
    </row>
    <row r="448" spans="1:9">
      <c r="A448" s="6"/>
      <c r="B448" s="3"/>
      <c r="C448" s="3"/>
      <c r="D448" s="3"/>
      <c r="E448" s="3"/>
      <c r="F448" s="3"/>
      <c r="G448" s="3"/>
      <c r="H448" s="3"/>
      <c r="I448" s="3"/>
    </row>
    <row r="449" spans="1:9">
      <c r="A449" s="6"/>
      <c r="B449" s="3"/>
      <c r="C449" s="3"/>
      <c r="D449" s="3"/>
      <c r="E449" s="3"/>
      <c r="F449" s="3"/>
      <c r="G449" s="3"/>
      <c r="H449" s="3"/>
      <c r="I449" s="3"/>
    </row>
    <row r="450" spans="1:9">
      <c r="A450" s="6"/>
      <c r="B450" s="3"/>
      <c r="C450" s="3"/>
      <c r="D450" s="3"/>
      <c r="E450" s="3"/>
      <c r="F450" s="3"/>
      <c r="G450" s="3"/>
      <c r="H450" s="3"/>
      <c r="I450" s="3"/>
    </row>
    <row r="451" spans="1:9">
      <c r="A451" s="6"/>
      <c r="B451" s="3"/>
      <c r="C451" s="3"/>
      <c r="D451" s="3"/>
      <c r="E451" s="3"/>
      <c r="F451" s="3"/>
      <c r="G451" s="3"/>
      <c r="H451" s="3"/>
      <c r="I451" s="3"/>
    </row>
    <row r="452" spans="1:9">
      <c r="A452" s="6"/>
      <c r="B452" s="3"/>
      <c r="C452" s="3"/>
      <c r="D452" s="3"/>
      <c r="E452" s="3"/>
      <c r="F452" s="3"/>
      <c r="G452" s="3"/>
      <c r="H452" s="3"/>
      <c r="I452" s="3"/>
    </row>
    <row r="453" spans="1:9">
      <c r="A453" s="6"/>
      <c r="B453" s="3"/>
      <c r="C453" s="3"/>
      <c r="D453" s="3"/>
      <c r="E453" s="3"/>
      <c r="F453" s="3"/>
      <c r="G453" s="3"/>
      <c r="H453" s="3"/>
      <c r="I453" s="3"/>
    </row>
    <row r="454" spans="1:9">
      <c r="A454" s="6"/>
      <c r="B454" s="3"/>
      <c r="C454" s="3"/>
      <c r="D454" s="3"/>
      <c r="E454" s="3"/>
      <c r="F454" s="3"/>
      <c r="G454" s="3"/>
      <c r="H454" s="3"/>
      <c r="I454" s="3"/>
    </row>
    <row r="455" spans="1:9">
      <c r="A455" s="6"/>
      <c r="B455" s="3"/>
      <c r="C455" s="3"/>
      <c r="D455" s="3"/>
      <c r="E455" s="3"/>
      <c r="F455" s="3"/>
      <c r="G455" s="3"/>
      <c r="H455" s="3"/>
      <c r="I455" s="3"/>
    </row>
    <row r="456" spans="1:9">
      <c r="A456" s="6"/>
      <c r="B456" s="3"/>
      <c r="C456" s="3"/>
      <c r="D456" s="3"/>
      <c r="E456" s="3"/>
      <c r="F456" s="3"/>
      <c r="G456" s="3"/>
      <c r="H456" s="3"/>
      <c r="I456" s="3"/>
    </row>
    <row r="457" spans="1:9">
      <c r="A457" s="6"/>
      <c r="B457" s="3"/>
      <c r="C457" s="3"/>
      <c r="D457" s="3"/>
      <c r="E457" s="3"/>
      <c r="F457" s="3"/>
      <c r="G457" s="3"/>
      <c r="H457" s="3"/>
      <c r="I457" s="3"/>
    </row>
    <row r="458" spans="1:9">
      <c r="A458" s="6"/>
      <c r="B458" s="3"/>
      <c r="C458" s="3"/>
      <c r="D458" s="3"/>
      <c r="E458" s="3"/>
      <c r="F458" s="3"/>
      <c r="G458" s="3"/>
      <c r="H458" s="3"/>
      <c r="I458" s="3"/>
    </row>
    <row r="459" spans="1:9">
      <c r="A459" s="6"/>
      <c r="B459" s="3"/>
      <c r="C459" s="3"/>
      <c r="D459" s="3"/>
      <c r="E459" s="3"/>
      <c r="F459" s="3"/>
      <c r="G459" s="3"/>
      <c r="H459" s="3"/>
      <c r="I459" s="3"/>
    </row>
    <row r="460" spans="1:9">
      <c r="A460" s="6"/>
      <c r="B460" s="3"/>
      <c r="C460" s="3"/>
      <c r="D460" s="3"/>
      <c r="E460" s="3"/>
      <c r="F460" s="3"/>
      <c r="G460" s="3"/>
      <c r="H460" s="3"/>
      <c r="I460" s="3"/>
    </row>
    <row r="461" spans="1:9">
      <c r="A461" s="6"/>
      <c r="B461" s="3"/>
      <c r="C461" s="3"/>
      <c r="D461" s="3"/>
      <c r="E461" s="3"/>
      <c r="F461" s="3"/>
      <c r="G461" s="3"/>
      <c r="H461" s="3"/>
      <c r="I461" s="3"/>
    </row>
    <row r="462" spans="1:9">
      <c r="A462" s="6"/>
      <c r="B462" s="3"/>
      <c r="C462" s="3"/>
      <c r="D462" s="3"/>
      <c r="E462" s="3"/>
      <c r="F462" s="3"/>
      <c r="G462" s="3"/>
      <c r="H462" s="3"/>
      <c r="I462" s="3"/>
    </row>
    <row r="463" spans="1:9">
      <c r="A463" s="6"/>
      <c r="B463" s="3"/>
      <c r="C463" s="3"/>
      <c r="D463" s="3"/>
      <c r="E463" s="3"/>
      <c r="F463" s="3"/>
      <c r="G463" s="3"/>
      <c r="H463" s="3"/>
      <c r="I463" s="3"/>
    </row>
    <row r="464" spans="1:9">
      <c r="A464" s="6"/>
      <c r="B464" s="3"/>
      <c r="C464" s="3"/>
      <c r="D464" s="3"/>
      <c r="E464" s="3"/>
      <c r="F464" s="3"/>
      <c r="G464" s="3"/>
      <c r="H464" s="3"/>
      <c r="I464" s="3"/>
    </row>
    <row r="465" spans="1:9">
      <c r="A465" s="6"/>
      <c r="B465" s="3"/>
      <c r="C465" s="3"/>
      <c r="D465" s="3"/>
      <c r="E465" s="3"/>
      <c r="F465" s="3"/>
      <c r="G465" s="3"/>
      <c r="H465" s="3"/>
      <c r="I465" s="3"/>
    </row>
    <row r="466" spans="1:9">
      <c r="A466" s="6"/>
      <c r="B466" s="3"/>
      <c r="C466" s="3"/>
      <c r="D466" s="3"/>
      <c r="E466" s="3"/>
      <c r="F466" s="3"/>
      <c r="G466" s="3"/>
      <c r="H466" s="3"/>
      <c r="I466" s="3"/>
    </row>
    <row r="467" spans="1:9">
      <c r="A467" s="6"/>
      <c r="B467" s="3"/>
      <c r="C467" s="3"/>
      <c r="D467" s="3"/>
      <c r="E467" s="3"/>
      <c r="F467" s="3"/>
      <c r="G467" s="3"/>
      <c r="H467" s="3"/>
      <c r="I467" s="3"/>
    </row>
    <row r="468" spans="1:9">
      <c r="A468" s="6"/>
      <c r="B468" s="3"/>
      <c r="C468" s="3"/>
      <c r="D468" s="3"/>
      <c r="E468" s="3"/>
      <c r="F468" s="3"/>
      <c r="G468" s="3"/>
      <c r="H468" s="3"/>
      <c r="I468" s="3"/>
    </row>
    <row r="469" spans="1:9">
      <c r="A469" s="6"/>
      <c r="B469" s="3"/>
      <c r="C469" s="3"/>
      <c r="D469" s="3"/>
      <c r="E469" s="3"/>
      <c r="F469" s="3"/>
      <c r="G469" s="3"/>
      <c r="H469" s="3"/>
      <c r="I469" s="3"/>
    </row>
    <row r="470" spans="1:9">
      <c r="A470" s="6"/>
      <c r="B470" s="3"/>
      <c r="C470" s="3"/>
      <c r="D470" s="3"/>
      <c r="E470" s="3"/>
      <c r="F470" s="3"/>
      <c r="G470" s="3"/>
      <c r="H470" s="3"/>
      <c r="I470" s="3"/>
    </row>
    <row r="471" spans="1:9">
      <c r="A471" s="6"/>
      <c r="B471" s="3"/>
      <c r="C471" s="3"/>
      <c r="D471" s="3"/>
      <c r="E471" s="3"/>
      <c r="F471" s="3"/>
      <c r="G471" s="3"/>
      <c r="H471" s="3"/>
      <c r="I471" s="3"/>
    </row>
    <row r="472" spans="1:9">
      <c r="A472" s="6"/>
      <c r="B472" s="3"/>
      <c r="C472" s="3"/>
      <c r="D472" s="3"/>
      <c r="E472" s="3"/>
      <c r="F472" s="3"/>
      <c r="G472" s="3"/>
      <c r="H472" s="3"/>
      <c r="I472" s="3"/>
    </row>
    <row r="473" spans="1:9">
      <c r="A473" s="6"/>
      <c r="B473" s="3"/>
      <c r="C473" s="3"/>
      <c r="D473" s="3"/>
      <c r="E473" s="3"/>
      <c r="F473" s="3"/>
      <c r="G473" s="3"/>
      <c r="H473" s="3"/>
      <c r="I473" s="3"/>
    </row>
    <row r="474" spans="1:9">
      <c r="A474" s="6"/>
      <c r="B474" s="3"/>
      <c r="C474" s="3"/>
      <c r="D474" s="3"/>
      <c r="E474" s="3"/>
      <c r="F474" s="3"/>
      <c r="G474" s="3"/>
      <c r="H474" s="3"/>
      <c r="I474" s="3"/>
    </row>
    <row r="475" spans="1:9">
      <c r="A475" s="6"/>
      <c r="B475" s="3"/>
      <c r="C475" s="3"/>
      <c r="D475" s="3"/>
      <c r="E475" s="3"/>
      <c r="F475" s="3"/>
      <c r="G475" s="3"/>
      <c r="H475" s="3"/>
      <c r="I475" s="3"/>
    </row>
    <row r="476" spans="1:9">
      <c r="A476" s="6"/>
      <c r="B476" s="3"/>
      <c r="C476" s="3"/>
      <c r="D476" s="3"/>
      <c r="E476" s="3"/>
      <c r="F476" s="3"/>
      <c r="G476" s="3"/>
      <c r="H476" s="3"/>
      <c r="I476" s="3"/>
    </row>
    <row r="477" spans="1:9">
      <c r="A477" s="6"/>
      <c r="B477" s="3"/>
      <c r="C477" s="3"/>
      <c r="D477" s="3"/>
      <c r="E477" s="3"/>
      <c r="F477" s="3"/>
      <c r="G477" s="3"/>
      <c r="H477" s="3"/>
      <c r="I477" s="3"/>
    </row>
    <row r="478" spans="1:9">
      <c r="A478" s="6"/>
      <c r="B478" s="3"/>
      <c r="C478" s="3"/>
      <c r="D478" s="3"/>
      <c r="E478" s="3"/>
      <c r="F478" s="3"/>
      <c r="G478" s="3"/>
      <c r="H478" s="3"/>
      <c r="I478" s="3"/>
    </row>
    <row r="479" spans="1:9">
      <c r="A479" s="6"/>
      <c r="B479" s="3"/>
      <c r="C479" s="3"/>
      <c r="D479" s="3"/>
      <c r="E479" s="3"/>
      <c r="F479" s="3"/>
      <c r="G479" s="3"/>
      <c r="H479" s="3"/>
      <c r="I479" s="3"/>
    </row>
    <row r="480" spans="1:9">
      <c r="A480" s="6"/>
      <c r="B480" s="3"/>
      <c r="C480" s="3"/>
      <c r="D480" s="3"/>
      <c r="E480" s="3"/>
      <c r="F480" s="3"/>
      <c r="G480" s="3"/>
      <c r="H480" s="3"/>
      <c r="I480" s="3"/>
    </row>
    <row r="481" spans="1:9">
      <c r="A481" s="6"/>
      <c r="B481" s="3"/>
      <c r="C481" s="3"/>
      <c r="D481" s="3"/>
      <c r="E481" s="3"/>
      <c r="F481" s="3"/>
      <c r="G481" s="3"/>
      <c r="H481" s="3"/>
      <c r="I481" s="3"/>
    </row>
    <row r="482" spans="1:9">
      <c r="A482" s="6"/>
      <c r="B482" s="3"/>
      <c r="C482" s="3"/>
      <c r="D482" s="3"/>
      <c r="E482" s="3"/>
      <c r="F482" s="3"/>
      <c r="G482" s="3"/>
      <c r="H482" s="3"/>
      <c r="I482" s="3"/>
    </row>
    <row r="483" spans="1:9">
      <c r="A483" s="6"/>
      <c r="B483" s="3"/>
      <c r="C483" s="3"/>
      <c r="D483" s="3"/>
      <c r="E483" s="3"/>
      <c r="F483" s="3"/>
      <c r="G483" s="3"/>
      <c r="H483" s="3"/>
      <c r="I483" s="3"/>
    </row>
    <row r="484" spans="1:9">
      <c r="A484" s="6"/>
      <c r="B484" s="3"/>
      <c r="C484" s="3"/>
      <c r="D484" s="3"/>
      <c r="E484" s="3"/>
      <c r="F484" s="3"/>
      <c r="G484" s="3"/>
      <c r="H484" s="3"/>
      <c r="I484" s="3"/>
    </row>
    <row r="485" spans="1:9">
      <c r="A485" s="6"/>
      <c r="B485" s="3"/>
      <c r="C485" s="3"/>
      <c r="D485" s="3"/>
      <c r="E485" s="3"/>
      <c r="F485" s="3"/>
      <c r="G485" s="3"/>
      <c r="H485" s="3"/>
      <c r="I485" s="3"/>
    </row>
    <row r="486" spans="1:9">
      <c r="A486" s="6"/>
      <c r="B486" s="3"/>
      <c r="C486" s="3"/>
      <c r="D486" s="3"/>
      <c r="E486" s="3"/>
      <c r="F486" s="3"/>
      <c r="G486" s="3"/>
      <c r="H486" s="3"/>
      <c r="I486" s="3"/>
    </row>
    <row r="487" spans="1:9">
      <c r="A487" s="6"/>
      <c r="B487" s="3"/>
      <c r="C487" s="3"/>
      <c r="D487" s="3"/>
      <c r="E487" s="3"/>
      <c r="F487" s="3"/>
      <c r="G487" s="3"/>
      <c r="H487" s="3"/>
      <c r="I487" s="3"/>
    </row>
    <row r="488" spans="1:9">
      <c r="A488" s="6"/>
      <c r="B488" s="3"/>
      <c r="C488" s="3"/>
      <c r="D488" s="3"/>
      <c r="E488" s="3"/>
      <c r="F488" s="3"/>
      <c r="G488" s="3"/>
      <c r="H488" s="3"/>
      <c r="I488" s="3"/>
    </row>
    <row r="489" spans="1:9">
      <c r="A489" s="6"/>
      <c r="B489" s="3"/>
      <c r="C489" s="3"/>
      <c r="D489" s="3"/>
      <c r="E489" s="3"/>
      <c r="F489" s="3"/>
      <c r="G489" s="3"/>
      <c r="H489" s="3"/>
      <c r="I489" s="3"/>
    </row>
    <row r="490" spans="1:9">
      <c r="A490" s="6"/>
      <c r="B490" s="3"/>
      <c r="C490" s="3"/>
      <c r="D490" s="3"/>
      <c r="E490" s="3"/>
      <c r="F490" s="3"/>
      <c r="G490" s="3"/>
      <c r="H490" s="3"/>
      <c r="I490" s="3"/>
    </row>
    <row r="491" spans="1:9">
      <c r="A491" s="6"/>
      <c r="B491" s="3"/>
      <c r="C491" s="3"/>
      <c r="D491" s="3"/>
      <c r="E491" s="3"/>
      <c r="F491" s="3"/>
      <c r="G491" s="3"/>
      <c r="H491" s="3"/>
      <c r="I491" s="3"/>
    </row>
    <row r="492" spans="1:9">
      <c r="A492" s="6"/>
      <c r="B492" s="3"/>
      <c r="C492" s="3"/>
      <c r="D492" s="3"/>
      <c r="E492" s="3"/>
      <c r="F492" s="3"/>
      <c r="G492" s="3"/>
      <c r="H492" s="3"/>
      <c r="I492" s="3"/>
    </row>
    <row r="493" spans="1:9">
      <c r="A493" s="6"/>
      <c r="B493" s="3"/>
      <c r="C493" s="3"/>
      <c r="D493" s="3"/>
      <c r="E493" s="3"/>
      <c r="F493" s="3"/>
      <c r="G493" s="3"/>
      <c r="H493" s="3"/>
      <c r="I493" s="3"/>
    </row>
    <row r="494" spans="1:9">
      <c r="A494" s="6"/>
      <c r="B494" s="3"/>
      <c r="C494" s="3"/>
      <c r="D494" s="3"/>
      <c r="E494" s="3"/>
      <c r="F494" s="3"/>
      <c r="G494" s="3"/>
      <c r="H494" s="3"/>
      <c r="I494" s="3"/>
    </row>
    <row r="495" spans="1:9">
      <c r="A495" s="6"/>
      <c r="B495" s="3"/>
      <c r="C495" s="3"/>
      <c r="D495" s="3"/>
      <c r="E495" s="3"/>
      <c r="F495" s="3"/>
      <c r="G495" s="3"/>
      <c r="H495" s="3"/>
      <c r="I495" s="3"/>
    </row>
    <row r="496" spans="1:9">
      <c r="A496" s="6"/>
      <c r="B496" s="3"/>
      <c r="C496" s="3"/>
      <c r="D496" s="3"/>
      <c r="E496" s="3"/>
      <c r="F496" s="3"/>
      <c r="G496" s="3"/>
      <c r="H496" s="3"/>
      <c r="I496" s="3"/>
    </row>
    <row r="497" spans="1:9">
      <c r="A497" s="6"/>
      <c r="B497" s="3"/>
      <c r="C497" s="3"/>
      <c r="D497" s="3"/>
      <c r="E497" s="3"/>
      <c r="F497" s="3"/>
      <c r="G497" s="3"/>
      <c r="H497" s="3"/>
      <c r="I497" s="3"/>
    </row>
    <row r="498" spans="1:9">
      <c r="A498" s="6"/>
      <c r="B498" s="3"/>
      <c r="C498" s="3"/>
      <c r="D498" s="3"/>
      <c r="E498" s="3"/>
      <c r="F498" s="3"/>
      <c r="G498" s="3"/>
      <c r="H498" s="3"/>
      <c r="I498" s="3"/>
    </row>
    <row r="499" spans="1:9">
      <c r="A499" s="6"/>
      <c r="B499" s="3"/>
      <c r="C499" s="3"/>
      <c r="D499" s="3"/>
      <c r="E499" s="3"/>
      <c r="F499" s="3"/>
      <c r="G499" s="3"/>
      <c r="H499" s="3"/>
      <c r="I499" s="3"/>
    </row>
    <row r="500" spans="1:9">
      <c r="A500" s="6"/>
      <c r="B500" s="3"/>
      <c r="C500" s="3"/>
      <c r="D500" s="3"/>
      <c r="E500" s="3"/>
      <c r="F500" s="3"/>
      <c r="G500" s="3"/>
      <c r="H500" s="3"/>
      <c r="I500" s="3"/>
    </row>
    <row r="501" spans="1:9">
      <c r="A501" s="6"/>
      <c r="B501" s="3"/>
      <c r="C501" s="3"/>
      <c r="D501" s="3"/>
      <c r="E501" s="3"/>
      <c r="F501" s="3"/>
      <c r="G501" s="3"/>
      <c r="H501" s="3"/>
      <c r="I501" s="3"/>
    </row>
    <row r="502" spans="1:9">
      <c r="A502" s="6"/>
      <c r="B502" s="3"/>
      <c r="C502" s="3"/>
      <c r="D502" s="3"/>
      <c r="E502" s="3"/>
      <c r="F502" s="3"/>
      <c r="G502" s="3"/>
      <c r="H502" s="3"/>
      <c r="I502" s="3"/>
    </row>
    <row r="503" spans="1:9">
      <c r="A503" s="6"/>
      <c r="B503" s="3"/>
      <c r="C503" s="3"/>
      <c r="D503" s="3"/>
      <c r="E503" s="3"/>
      <c r="F503" s="3"/>
      <c r="G503" s="3"/>
      <c r="H503" s="3"/>
      <c r="I503" s="3"/>
    </row>
    <row r="504" spans="1:9">
      <c r="A504" s="6"/>
      <c r="B504" s="3"/>
      <c r="C504" s="3"/>
      <c r="D504" s="3"/>
      <c r="E504" s="3"/>
      <c r="F504" s="3"/>
      <c r="G504" s="3"/>
      <c r="H504" s="3"/>
      <c r="I504" s="3"/>
    </row>
    <row r="505" spans="1:9">
      <c r="A505" s="6"/>
      <c r="B505" s="3"/>
      <c r="C505" s="3"/>
      <c r="D505" s="3"/>
      <c r="E505" s="3"/>
      <c r="F505" s="3"/>
      <c r="G505" s="3"/>
      <c r="H505" s="3"/>
      <c r="I505" s="3"/>
    </row>
    <row r="506" spans="1:9">
      <c r="A506" s="6"/>
      <c r="B506" s="3"/>
      <c r="C506" s="3"/>
      <c r="D506" s="3"/>
      <c r="E506" s="3"/>
      <c r="F506" s="3"/>
      <c r="G506" s="3"/>
      <c r="H506" s="3"/>
      <c r="I506" s="3"/>
    </row>
    <row r="507" spans="1:9">
      <c r="A507" s="6"/>
      <c r="B507" s="3"/>
      <c r="C507" s="3"/>
      <c r="D507" s="3"/>
      <c r="E507" s="3"/>
      <c r="F507" s="3"/>
      <c r="G507" s="3"/>
      <c r="H507" s="3"/>
      <c r="I507" s="3"/>
    </row>
    <row r="508" spans="1:9">
      <c r="A508" s="6"/>
      <c r="B508" s="3"/>
      <c r="C508" s="3"/>
      <c r="D508" s="3"/>
      <c r="E508" s="3"/>
      <c r="F508" s="3"/>
      <c r="G508" s="3"/>
      <c r="H508" s="3"/>
      <c r="I508" s="3"/>
    </row>
    <row r="509" spans="1:9">
      <c r="A509" s="6"/>
      <c r="B509" s="3"/>
      <c r="C509" s="3"/>
      <c r="D509" s="3"/>
      <c r="E509" s="3"/>
      <c r="F509" s="3"/>
      <c r="G509" s="3"/>
      <c r="H509" s="3"/>
      <c r="I509" s="3"/>
    </row>
    <row r="510" spans="1:9">
      <c r="A510" s="6"/>
      <c r="B510" s="3"/>
      <c r="C510" s="3"/>
      <c r="D510" s="3"/>
      <c r="E510" s="3"/>
      <c r="F510" s="3"/>
      <c r="G510" s="3"/>
      <c r="H510" s="3"/>
      <c r="I510" s="3"/>
    </row>
    <row r="511" spans="1:9">
      <c r="A511" s="6"/>
      <c r="B511" s="3"/>
      <c r="C511" s="3"/>
      <c r="D511" s="3"/>
      <c r="E511" s="3"/>
      <c r="F511" s="3"/>
      <c r="G511" s="3"/>
      <c r="H511" s="3"/>
      <c r="I511" s="3"/>
    </row>
    <row r="512" spans="1:9">
      <c r="A512" s="6"/>
      <c r="B512" s="3"/>
      <c r="C512" s="3"/>
      <c r="D512" s="3"/>
      <c r="E512" s="3"/>
      <c r="F512" s="3"/>
      <c r="G512" s="3"/>
      <c r="H512" s="3"/>
      <c r="I512" s="3"/>
    </row>
    <row r="513" spans="1:9">
      <c r="A513" s="6"/>
      <c r="B513" s="3"/>
      <c r="C513" s="3"/>
      <c r="D513" s="3"/>
      <c r="E513" s="3"/>
      <c r="F513" s="3"/>
      <c r="G513" s="3"/>
      <c r="H513" s="3"/>
      <c r="I513" s="3"/>
    </row>
    <row r="514" spans="1:9">
      <c r="A514" s="6"/>
      <c r="B514" s="3"/>
      <c r="C514" s="3"/>
      <c r="D514" s="3"/>
      <c r="E514" s="3"/>
      <c r="F514" s="3"/>
      <c r="G514" s="3"/>
      <c r="H514" s="3"/>
      <c r="I514" s="3"/>
    </row>
    <row r="515" spans="1:9">
      <c r="A515" s="6"/>
      <c r="B515" s="3"/>
      <c r="C515" s="3"/>
      <c r="D515" s="3"/>
      <c r="E515" s="3"/>
      <c r="F515" s="3"/>
      <c r="G515" s="3"/>
      <c r="H515" s="3"/>
      <c r="I515" s="3"/>
    </row>
    <row r="516" spans="1:9">
      <c r="A516" s="6"/>
      <c r="B516" s="3"/>
      <c r="C516" s="3"/>
      <c r="D516" s="3"/>
      <c r="E516" s="3"/>
      <c r="F516" s="3"/>
      <c r="G516" s="3"/>
      <c r="H516" s="3"/>
      <c r="I516" s="3"/>
    </row>
    <row r="517" spans="1:9">
      <c r="A517" s="6"/>
      <c r="B517" s="3"/>
      <c r="C517" s="3"/>
      <c r="D517" s="3"/>
      <c r="E517" s="3"/>
      <c r="F517" s="3"/>
      <c r="G517" s="3"/>
      <c r="H517" s="3"/>
      <c r="I517" s="3"/>
    </row>
    <row r="518" spans="1:9">
      <c r="A518" s="6"/>
      <c r="B518" s="3"/>
      <c r="C518" s="3"/>
      <c r="D518" s="3"/>
      <c r="E518" s="3"/>
      <c r="F518" s="3"/>
      <c r="G518" s="3"/>
      <c r="H518" s="3"/>
      <c r="I518" s="3"/>
    </row>
    <row r="519" spans="1:9">
      <c r="A519" s="6"/>
      <c r="B519" s="3"/>
      <c r="C519" s="3"/>
      <c r="D519" s="3"/>
      <c r="E519" s="3"/>
      <c r="F519" s="3"/>
      <c r="G519" s="3"/>
      <c r="H519" s="3"/>
      <c r="I519" s="3"/>
    </row>
    <row r="520" spans="1:9">
      <c r="A520" s="6"/>
      <c r="B520" s="3"/>
      <c r="C520" s="3"/>
      <c r="D520" s="3"/>
      <c r="E520" s="3"/>
      <c r="F520" s="3"/>
      <c r="G520" s="3"/>
      <c r="H520" s="3"/>
      <c r="I520" s="3"/>
    </row>
    <row r="521" spans="1:9">
      <c r="A521" s="6"/>
      <c r="B521" s="3"/>
      <c r="C521" s="3"/>
      <c r="D521" s="3"/>
      <c r="E521" s="3"/>
      <c r="F521" s="3"/>
      <c r="G521" s="3"/>
      <c r="H521" s="3"/>
      <c r="I521" s="3"/>
    </row>
    <row r="522" spans="1:9">
      <c r="A522" s="6"/>
      <c r="B522" s="3"/>
      <c r="C522" s="3"/>
      <c r="D522" s="3"/>
      <c r="E522" s="3"/>
      <c r="F522" s="3"/>
      <c r="G522" s="3"/>
      <c r="H522" s="3"/>
      <c r="I522" s="3"/>
    </row>
    <row r="523" spans="1:9">
      <c r="A523" s="6"/>
      <c r="B523" s="3"/>
      <c r="C523" s="3"/>
      <c r="D523" s="3"/>
      <c r="E523" s="3"/>
      <c r="F523" s="3"/>
      <c r="G523" s="3"/>
      <c r="H523" s="3"/>
      <c r="I523" s="3"/>
    </row>
    <row r="524" spans="1:9">
      <c r="A524" s="6"/>
      <c r="B524" s="3"/>
      <c r="C524" s="3"/>
      <c r="D524" s="3"/>
      <c r="E524" s="3"/>
      <c r="F524" s="3"/>
      <c r="G524" s="3"/>
      <c r="H524" s="3"/>
      <c r="I524" s="3"/>
    </row>
    <row r="525" spans="1:9">
      <c r="A525" s="6"/>
      <c r="B525" s="3"/>
      <c r="C525" s="3"/>
      <c r="D525" s="3"/>
      <c r="E525" s="3"/>
      <c r="F525" s="3"/>
      <c r="G525" s="3"/>
      <c r="H525" s="3"/>
      <c r="I525" s="3"/>
    </row>
    <row r="526" spans="1:9">
      <c r="A526" s="6"/>
      <c r="B526" s="3"/>
      <c r="C526" s="3"/>
      <c r="D526" s="3"/>
      <c r="E526" s="3"/>
      <c r="F526" s="3"/>
      <c r="G526" s="3"/>
      <c r="H526" s="3"/>
      <c r="I526" s="3"/>
    </row>
    <row r="527" spans="1:9">
      <c r="A527" s="6"/>
      <c r="B527" s="3"/>
      <c r="C527" s="3"/>
      <c r="D527" s="3"/>
      <c r="E527" s="3"/>
      <c r="F527" s="3"/>
      <c r="G527" s="3"/>
      <c r="H527" s="3"/>
      <c r="I527" s="3"/>
    </row>
    <row r="528" spans="1:9">
      <c r="A528" s="6"/>
      <c r="B528" s="3"/>
      <c r="C528" s="3"/>
      <c r="D528" s="3"/>
      <c r="E528" s="3"/>
      <c r="F528" s="3"/>
      <c r="G528" s="3"/>
      <c r="H528" s="3"/>
      <c r="I528" s="3"/>
    </row>
  </sheetData>
  <sheetProtection password="C664" sheet="1" objects="1" scenarios="1" selectLockedCells="1"/>
  <dataValidations count="8">
    <dataValidation type="list" allowBlank="1" showInputMessage="1" showErrorMessage="1" sqref="Q3">
      <formula1>"200, 300"</formula1>
    </dataValidation>
    <dataValidation type="whole" allowBlank="1" showInputMessage="1" showErrorMessage="1" error="Must be a 1-4 digit number." sqref="E4">
      <formula1>1</formula1>
      <formula2>9999</formula2>
    </dataValidation>
    <dataValidation type="whole" allowBlank="1" showInputMessage="1" showErrorMessage="1" error="Must be a 4 digit number." sqref="F4">
      <formula1>1000</formula1>
      <formula2>9999</formula2>
    </dataValidation>
    <dataValidation type="textLength" allowBlank="1" showInputMessage="1" showErrorMessage="1" error="MAC Address must be exactly 12 characters." sqref="F9">
      <formula1>12</formula1>
      <formula2>12</formula2>
    </dataValidation>
    <dataValidation type="custom" allowBlank="1" showInputMessage="1" showErrorMessage="1" error="Email Proxy must start with EMAIL and be exactly 12 characters." sqref="D9">
      <formula1>AND(LEFT(D9,5)="EMAIL", LEN(D9)=12)</formula1>
    </dataValidation>
    <dataValidation type="custom" allowBlank="1" showInputMessage="1" showErrorMessage="1" error="URL must be in the following format only:  &quot;round1.intercardinc.com&quot;_x000a_.net is also acceptable." prompt="URL ONLY,_x000a_No &quot;https://&quot; or &quot;/&quot; at the end._x000a_EX &quot;site.intercardinc.com&quot;" sqref="G4">
      <formula1>AND(ISERROR(FIND("/", G4)), LEN(G4)-LEN(SUBSTITUTE(G4,".",""))=2, OR(RIGHT(G4,4)=".com", RIGHT(G4,4)=".net"))</formula1>
    </dataValidation>
    <dataValidation type="custom" allowBlank="1" showInputMessage="1" showErrorMessage="1" error="MAC Address must be in one of the following formats:_x000a_123456789012_x000a_12:34:56:78:90:12_x000a_12-34-56-78-90-12" sqref="D27:D118 D12:D19 F12:F19 I13:I18 D7 F7">
      <formula1>OR(LEN(D7)=12, AND(LEN(D7)=17, OR(AND(MID(D7,3,1)=":", MID(D7,6,1)=":", MID(D7,9,1)=":", MID(D7,12,1)=":", MID(D7,15,1)=":"), AND(MID(D7,3,1)="-", MID(D7,6,1)="-", MID(D7,9,1)="-", MID(D7,12,1)="-", MID(D7,15,1)="-"))))</formula1>
    </dataValidation>
    <dataValidation type="custom" allowBlank="1" showInputMessage="1" showErrorMessage="1" error="Description must only contain alpha-numeric characters." sqref="C27:C118 C12:C19 C7 C9 E7 E9 E12:E19 H13:H18">
      <formula1>ISNUMBER(SUMPRODUCT(SEARCH(MID(C7,ROW(INDIRECT("1:"&amp;LEN(C7))),1),"0123456789abcdefghijklmnopqrstuvwxyzABCDEFGHIJKLMNOPQRSTUVWXYZ ")))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4:BX195"/>
  <sheetViews>
    <sheetView defaultGridColor="0" colorId="55" zoomScaleNormal="100" workbookViewId="0">
      <selection sqref="A1:XFD1048576"/>
    </sheetView>
  </sheetViews>
  <sheetFormatPr defaultRowHeight="13.8"/>
  <cols>
    <col min="1" max="2" width="8.796875" style="6"/>
    <col min="3" max="3" width="3.3984375" style="6" customWidth="1"/>
    <col min="4" max="4" width="21" style="6" customWidth="1"/>
    <col min="5" max="5" width="17.296875" style="6" customWidth="1"/>
    <col min="6" max="6" width="5.69921875" style="6" customWidth="1"/>
    <col min="7" max="7" width="11.59765625" style="6" bestFit="1" customWidth="1"/>
    <col min="8" max="8" width="8.796875" style="6"/>
    <col min="9" max="9" width="22.296875" style="6" customWidth="1"/>
    <col min="10" max="10" width="8.796875" style="6"/>
    <col min="11" max="11" width="111.8984375" style="6" customWidth="1"/>
    <col min="12" max="12" width="131.3984375" style="6" customWidth="1"/>
    <col min="13" max="13" width="14.69921875" style="6" bestFit="1" customWidth="1"/>
    <col min="14" max="14" width="18.69921875" style="6" bestFit="1" customWidth="1"/>
    <col min="15" max="15" width="15" style="6" bestFit="1" customWidth="1"/>
    <col min="16" max="16" width="12.09765625" style="6" customWidth="1"/>
    <col min="17" max="17" width="15.59765625" style="6" customWidth="1"/>
    <col min="18" max="18" width="18.09765625" style="6" customWidth="1"/>
    <col min="19" max="19" width="19.3984375" style="6" customWidth="1"/>
    <col min="20" max="20" width="13.09765625" style="6" customWidth="1"/>
    <col min="21" max="21" width="14.69921875" style="6" customWidth="1"/>
    <col min="22" max="25" width="8.796875" style="6"/>
    <col min="26" max="26" width="9.8984375" style="6" customWidth="1"/>
    <col min="27" max="27" width="9.19921875" style="25" customWidth="1"/>
    <col min="28" max="28" width="9.796875" style="25" customWidth="1"/>
    <col min="29" max="32" width="8.796875" style="25" customWidth="1"/>
    <col min="33" max="33" width="8.69921875" style="25" customWidth="1"/>
    <col min="34" max="34" width="11.296875" style="25" customWidth="1"/>
    <col min="35" max="35" width="13" style="25" customWidth="1"/>
    <col min="36" max="60" width="8.796875" style="25" customWidth="1"/>
    <col min="61" max="76" width="8.796875" style="6" customWidth="1"/>
    <col min="77" max="77" width="18.8984375" style="6" customWidth="1"/>
    <col min="78" max="16384" width="8.796875" style="6"/>
  </cols>
  <sheetData>
    <row r="4" spans="3:76" ht="15" customHeight="1"/>
    <row r="5" spans="3:76" ht="17.399999999999999" customHeight="1">
      <c r="D5" s="46" t="s">
        <v>4</v>
      </c>
      <c r="E5" s="46" t="s">
        <v>1</v>
      </c>
      <c r="F5" s="46" t="s">
        <v>12</v>
      </c>
      <c r="G5" s="46" t="s">
        <v>16</v>
      </c>
      <c r="H5" s="46"/>
      <c r="I5" s="47" t="s">
        <v>20</v>
      </c>
      <c r="J5" s="48" t="s">
        <v>118</v>
      </c>
    </row>
    <row r="6" spans="3:76" ht="17.399999999999999">
      <c r="D6" s="7">
        <v>6</v>
      </c>
      <c r="E6" s="7">
        <v>3333</v>
      </c>
      <c r="F6" s="46" t="s">
        <v>13</v>
      </c>
      <c r="G6" s="46" t="s">
        <v>17</v>
      </c>
      <c r="H6" s="46"/>
      <c r="I6" s="47"/>
      <c r="J6" s="3"/>
    </row>
    <row r="7" spans="3:76">
      <c r="F7" s="46" t="s">
        <v>14</v>
      </c>
      <c r="G7" s="46" t="s">
        <v>18</v>
      </c>
      <c r="H7" s="46"/>
      <c r="I7" s="47" t="s">
        <v>28</v>
      </c>
      <c r="J7" s="48" t="s">
        <v>21</v>
      </c>
    </row>
    <row r="8" spans="3:76">
      <c r="F8" s="46" t="s">
        <v>15</v>
      </c>
      <c r="G8" s="46" t="s">
        <v>19</v>
      </c>
      <c r="H8" s="46"/>
      <c r="I8" s="47" t="s">
        <v>25</v>
      </c>
      <c r="J8" s="48" t="s">
        <v>119</v>
      </c>
      <c r="AA8" s="6"/>
    </row>
    <row r="9" spans="3:76">
      <c r="I9" s="47" t="s">
        <v>29</v>
      </c>
      <c r="J9" s="48" t="s">
        <v>21</v>
      </c>
      <c r="AA9" s="25" t="s">
        <v>6</v>
      </c>
    </row>
    <row r="10" spans="3:76" ht="17.399999999999999">
      <c r="C10" s="25"/>
      <c r="D10" s="46" t="s">
        <v>2</v>
      </c>
      <c r="E10" s="46" t="s">
        <v>3</v>
      </c>
      <c r="F10" s="49" t="s">
        <v>7</v>
      </c>
      <c r="M10" s="25" t="s">
        <v>9</v>
      </c>
      <c r="N10" s="25" t="s">
        <v>10</v>
      </c>
      <c r="O10" s="25" t="s">
        <v>11</v>
      </c>
      <c r="P10" s="25" t="s">
        <v>26</v>
      </c>
      <c r="Q10" s="25" t="s">
        <v>20</v>
      </c>
      <c r="R10" s="25" t="s">
        <v>22</v>
      </c>
      <c r="S10" s="25" t="s">
        <v>23</v>
      </c>
      <c r="T10" s="25" t="s">
        <v>24</v>
      </c>
      <c r="AA10" s="25" t="s">
        <v>30</v>
      </c>
    </row>
    <row r="11" spans="3:76" ht="21">
      <c r="C11" s="25">
        <v>1</v>
      </c>
      <c r="D11" s="50" t="s">
        <v>95</v>
      </c>
      <c r="E11" s="50" t="s">
        <v>96</v>
      </c>
      <c r="F11" s="51" t="s">
        <v>8</v>
      </c>
      <c r="M11" s="25" t="str">
        <f>IF(F11="r","19",IF(F11="v","18",IF(F11="c","20",IF(F11="m","21","19"))))</f>
        <v>19</v>
      </c>
      <c r="N11" s="25" t="str">
        <f>IF(F11="r","11",IF(F11="v","10",IF(F11="c","12",IF(F11="m","13","11"))))</f>
        <v>11</v>
      </c>
      <c r="O11" s="25" t="str">
        <f>IF(F11="r","1",IF(F11="v","0",IF(F11="c","2",IF(F11="m","102","1"))))</f>
        <v>1</v>
      </c>
      <c r="P11" s="25" t="str">
        <f>IF(Q11="blue","2",IF(Q11="cycle","-1",IF(Q11="red","0",IF(Q11="green","1",IF(Q11="magenta","3",IF(Q11="yellow","4",IF(Q11="cyan","5",IF(Q11="white","6","-1"))))))))</f>
        <v>4</v>
      </c>
      <c r="Q11" s="25" t="str">
        <f>IF(AND(F11="v",$J$7="yes"),$J$8,$J$5)</f>
        <v>yellow</v>
      </c>
      <c r="R11" s="25" t="str">
        <f>IF(AND(F11="v",$J$7="yes"),"True","False")</f>
        <v>False</v>
      </c>
      <c r="S11" s="25" t="str">
        <f>IF($J$9="yes","True","False")</f>
        <v>True</v>
      </c>
      <c r="T11" s="25" t="str">
        <f>IF(F11="r","True","False")</f>
        <v>True</v>
      </c>
      <c r="AA11" s="25" t="str">
        <f t="shared" ref="AA11:AA42" si="0">IF(E11&lt;&gt;"","INSERT INTO DC_OnlineDevices ([Description], [MAC_ID], [Device Type], [Location Code])","")</f>
        <v>INSERT INTO DC_OnlineDevices ([Description], [MAC_ID], [Device Type], [Location Code])</v>
      </c>
      <c r="AB11" s="25" t="str">
        <f t="shared" ref="AB11:AB42" si="1">IF(E11&lt;&gt;"","VALUES ('"&amp;D11&amp;"', '"&amp;E11&amp;"', '100', '"&amp;$D$6&amp;"');","")</f>
        <v>VALUES ('Fusion Skeeball', '4084323228AF', '100', '6');</v>
      </c>
      <c r="AD11" s="25" t="str">
        <f t="shared" ref="AD11:AD42" si="2">IF(E11&lt;&gt;"","SET @TagID = SCOPE_IDENTITY();","")</f>
        <v>SET @TagID = SCOPE_IDENTITY();</v>
      </c>
      <c r="AE11" s="25" t="str">
        <f t="shared" ref="AE11:AE42" si="3">IF(E11&lt;&gt;"","INSERT INTO DC_ArcadeGameDef  ([Tag], [Cash Play Price], [Game Group ID], [Game Sub Group ID], [Asset Tag], [Allow Time Play], [TimeBetweenPlays], [ConsecutivePlays], [PulsePauseWidth], [Device_Interface], [TicketPulseWidth], ","")</f>
        <v xml:space="preserve">INSERT INTO DC_ArcadeGameDef  ([Tag], [Cash Play Price], [Game Group ID], [Game Sub Group ID], [Asset Tag], [Allow Time Play], [TimeBetweenPlays], [ConsecutivePlays], [PulsePauseWidth], [Device_Interface], [TicketPulseWidth], </v>
      </c>
      <c r="AF11" s="25" t="str">
        <f t="shared" ref="AF11:AF42" si="4">IF(E11&lt;&gt;"","[ElecronitcTickets], [ActiveButtonCount], [Button1_Value], [Button2_Value], [Button3_Value], [Button1_Pulses], [Button2_Pulses], [Button3_Pulses], [Model], [eclipse_HappyHour], [eclipse_BaseColor], [GlowOption], [CoinPerPulse], ","")</f>
        <v xml:space="preserve">[ElecronitcTickets], [ActiveButtonCount], [Button1_Value], [Button2_Value], [Button3_Value], [Button1_Pulses], [Button2_Pulses], [Button3_Pulses], [Model], [eclipse_HappyHour], [eclipse_BaseColor], [GlowOption], [CoinPerPulse], </v>
      </c>
      <c r="AG11" s="25" t="str">
        <f t="shared" ref="AG11:AG42" si="5">IF(E11&lt;&gt;"","[HopperTimeOut], [CreditCardEnable], [MercyPoints], [SupplementalBackgrounds])","")</f>
        <v>[HopperTimeOut], [CreditCardEnable], [MercyPoints], [SupplementalBackgrounds])</v>
      </c>
      <c r="AH11" s="25" t="str">
        <f t="shared" ref="AH11:AH42" si="6">IF(E11&lt;&gt;"","VALUES (@TagID, '2.0000', '"&amp;M11&amp;"', '"&amp;N11&amp;"', @TagID, '"&amp;R11&amp;"', '10', '3', '100', '"&amp;O11&amp;"', '3', '"&amp;T11&amp;"', '0', '0.0000', '0.0000', '0.0000', '0', '0', '0', '3', '-1', '"&amp;P11&amp;"', 'True', '1', '100', '"&amp;$S$11&amp;"', '0', 'False');","")</f>
        <v>VALUES (@TagID, '2.0000', '19', '11', @TagID, 'False', '10', '3', '100', '1', '3', 'True', '0', '0.0000', '0.0000', '0.0000', '0', '0', '0', '3', '-1', '4', 'True', '1', '100', 'True', '0', 'False');</v>
      </c>
      <c r="AI11" s="25" t="str">
        <f t="shared" ref="AI11:AI42" si="7">IF(E11&lt;&gt;"","INSERT INTO DC_ArcadeReaderImages ([Tag], [ID], [Background], [Foreground], [DisplaySettings])","")</f>
        <v>INSERT INTO DC_ArcadeReaderImages ([Tag], [ID], [Background], [Foreground], [DisplaySettings])</v>
      </c>
      <c r="AJ11" s="25" t="str">
        <f t="shared" ref="AJ11:AJ42" si="8">IF(E11&lt;&gt;"","VALUES (@TagID, '0', '-1', '-1', '1')","")</f>
        <v>VALUES (@TagID, '0', '-1', '-1', '1')</v>
      </c>
      <c r="AK11" s="25" t="str">
        <f t="shared" ref="AK11:AK42" si="9">IF(E11&lt;&gt;"","INSERT INTO DC_ArcadeReaderImages ([Tag], [ID], [Background], [Foreground], [DisplaySettings])","")</f>
        <v>INSERT INTO DC_ArcadeReaderImages ([Tag], [ID], [Background], [Foreground], [DisplaySettings])</v>
      </c>
      <c r="AL11" s="25" t="str">
        <f t="shared" ref="AL11:AL42" si="10">IF(E11&lt;&gt;"","VALUES (@TagID, '1', '-1', '-1', '1')","")</f>
        <v>VALUES (@TagID, '1', '-1', '-1', '1')</v>
      </c>
      <c r="AM11" s="25" t="str">
        <f t="shared" ref="AM11:AM42" si="11">IF(E11&lt;&gt;"","INSERT INTO DC_ArcadeReaderImages ([Tag], [ID], [Background], [Foreground], [DisplaySettings])","")</f>
        <v>INSERT INTO DC_ArcadeReaderImages ([Tag], [ID], [Background], [Foreground], [DisplaySettings])</v>
      </c>
      <c r="AN11" s="25" t="str">
        <f t="shared" ref="AN11:AN42" si="12">IF(E11&lt;&gt;"","VALUES (@TagID, '2', '-1', '-1', '1')","")</f>
        <v>VALUES (@TagID, '2', '-1', '-1', '1')</v>
      </c>
      <c r="AO11" s="25" t="str">
        <f t="shared" ref="AO11:AO42" si="13">IF(E11&lt;&gt;"","INSERT INTO DC_ArcadeReaderImages ([Tag], [ID], [Background], [Foreground], [DisplaySettings])","")</f>
        <v>INSERT INTO DC_ArcadeReaderImages ([Tag], [ID], [Background], [Foreground], [DisplaySettings])</v>
      </c>
      <c r="AP11" s="25" t="str">
        <f t="shared" ref="AP11:AP42" si="14">IF(E11&lt;&gt;"","VALUES (@TagID, '3', '-1', '-1', '1')","")</f>
        <v>VALUES (@TagID, '3', '-1', '-1', '1')</v>
      </c>
      <c r="AQ11" s="25" t="str">
        <f t="shared" ref="AQ11:AQ42" si="15">IF(E11&lt;&gt;"","INSERT INTO DC_ArcadeReaderImages ([Tag], [ID], [Background], [Foreground], [DisplaySettings])","")</f>
        <v>INSERT INTO DC_ArcadeReaderImages ([Tag], [ID], [Background], [Foreground], [DisplaySettings])</v>
      </c>
      <c r="AR11" s="25" t="str">
        <f t="shared" ref="AR11:AR42" si="16">IF(E11&lt;&gt;"","VALUES (@TagID, '4', '-1', '-1', '1')","")</f>
        <v>VALUES (@TagID, '4', '-1', '-1', '1')</v>
      </c>
      <c r="AS11" s="25" t="str">
        <f t="shared" ref="AS11:AS42" si="17">IF(E11&lt;&gt;"","INSERT INTO DC_ReaderDisplayProperties ([Tag],[Text],[X],[Y],[FontColor],[DisplayID],[ObjectID],[FontSize],[Width],[Height],[BackColor])","")</f>
        <v>INSERT INTO DC_ReaderDisplayProperties ([Tag],[Text],[X],[Y],[FontColor],[DisplayID],[ObjectID],[FontSize],[Width],[Height],[BackColor])</v>
      </c>
      <c r="AT11" s="25" t="str">
        <f t="shared" ref="AT11:AT42" si="18">IF(E11&lt;&gt;"","VALUES (@TagID, 'Play', '5', '3', '-16777216', '0', '0', '0', '-1', '-1', '0')","")</f>
        <v>VALUES (@TagID, 'Play', '5', '3', '-16777216', '0', '0', '0', '-1', '-1', '0')</v>
      </c>
      <c r="AU11" s="25" t="str">
        <f t="shared" ref="AU11:AU42" si="19">IF(E11&lt;&gt;"","INSERT INTO DC_ReaderDisplayProperties ([Tag],[Text],[X],[Y],[FontColor],[DisplayID],[ObjectID],[FontSize],[Width],[Height],[BackColor])","")</f>
        <v>INSERT INTO DC_ReaderDisplayProperties ([Tag],[Text],[X],[Y],[FontColor],[DisplayID],[ObjectID],[FontSize],[Width],[Height],[BackColor])</v>
      </c>
      <c r="AV11" s="25" t="str">
        <f t="shared" ref="AV11:AV42" si="20">IF(E11&lt;&gt;"","VALUES (@TagID, '$0.00', '5', '104', '-16777216', '0', '1', '0', '-1', '-1', '0')","")</f>
        <v>VALUES (@TagID, '$0.00', '5', '104', '-16777216', '0', '1', '0', '-1', '-1', '0')</v>
      </c>
      <c r="AW11" s="25" t="str">
        <f t="shared" ref="AW11:AW42" si="21">IF(E11&lt;&gt;"","INSERT INTO DC_ReaderDisplayProperties ([Tag],[Text],[X],[Y],[FontColor],[DisplayID],[ObjectID],[FontSize],[Width],[Height],[BackColor])","")</f>
        <v>INSERT INTO DC_ReaderDisplayProperties ([Tag],[Text],[X],[Y],[FontColor],[DisplayID],[ObjectID],[FontSize],[Width],[Height],[BackColor])</v>
      </c>
      <c r="AX11" s="25" t="str">
        <f t="shared" ref="AX11:AX42" si="22">IF(E11&lt;&gt;"","VALUES (@TagID, 'Token', '208', '16', '-16777216', '0', '16', '0', '-1', '-1', '0')","")</f>
        <v>VALUES (@TagID, 'Token', '208', '16', '-16777216', '0', '16', '0', '-1', '-1', '0')</v>
      </c>
      <c r="AY11" s="25" t="str">
        <f t="shared" ref="AY11:AY42" si="23">IF(E11&lt;&gt;"","INSERT INTO DC_ReaderDisplayProperties ([Tag],[Text],[X],[Y],[FontColor],[DisplayID],[ObjectID],[FontSize],[Width],[Height],[BackColor])","")</f>
        <v>INSERT INTO DC_ReaderDisplayProperties ([Tag],[Text],[X],[Y],[FontColor],[DisplayID],[ObjectID],[FontSize],[Width],[Height],[BackColor])</v>
      </c>
      <c r="AZ11" s="25" t="str">
        <f t="shared" ref="AZ11:AZ42" si="24">IF(E11&lt;&gt;"","VALUES (@TagID, '000000', '232', '56', '-16777216', '0', '17', '0', '-1', '-1', '0')","")</f>
        <v>VALUES (@TagID, '000000', '232', '56', '-16777216', '0', '17', '0', '-1', '-1', '0')</v>
      </c>
      <c r="BA11" s="25" t="str">
        <f t="shared" ref="BA11:BA42" si="25">IF(E11&lt;&gt;"","INSERT INTO DC_ReaderDisplayProperties ([Tag],[Text],[X],[Y],[FontColor],[DisplayID],[ObjectID],[FontSize],[Width],[Height],[BackColor])","")</f>
        <v>INSERT INTO DC_ReaderDisplayProperties ([Tag],[Text],[X],[Y],[FontColor],[DisplayID],[ObjectID],[FontSize],[Width],[Height],[BackColor])</v>
      </c>
      <c r="BB11" s="25" t="str">
        <f t="shared" ref="BB11:BB42" si="26">IF(E11&lt;&gt;"","VALUES (@TagID, 'Status Message', '8', '200', '-16777216', '0', '18', '0', '-1', '-1', '0')","")</f>
        <v>VALUES (@TagID, 'Status Message', '8', '200', '-16777216', '0', '18', '0', '-1', '-1', '0')</v>
      </c>
      <c r="BC11" s="25" t="str">
        <f t="shared" ref="BC11:BC42" si="27">IF(E11&lt;&gt;"","INSERT INTO DC_ReaderDisplayProperties ([Tag],[Text],[X],[Y],[FontColor],[DisplayID],[ObjectID],[FontSize],[Width],[Height],[BackColor])","")</f>
        <v>INSERT INTO DC_ReaderDisplayProperties ([Tag],[Text],[X],[Y],[FontColor],[DisplayID],[ObjectID],[FontSize],[Width],[Height],[BackColor])</v>
      </c>
      <c r="BD11" s="25" t="str">
        <f t="shared" ref="BD11:BD42" si="28">IF(E11&lt;&gt;"","VALUES (@TagID, 'Josh Colby, Vibranium Member', '5', '3', '-16777216', '1', '2', '0', '-1', '-1', '0')","")</f>
        <v>VALUES (@TagID, 'Josh Colby, Vibranium Member', '5', '3', '-16777216', '1', '2', '0', '-1', '-1', '0')</v>
      </c>
      <c r="BE11" s="25" t="str">
        <f t="shared" ref="BE11:BE42" si="29">IF(E11&lt;&gt;"","INSERT INTO DC_ReaderDisplayProperties ([Tag],[Text],[X],[Y],[FontColor],[DisplayID],[ObjectID],[FontSize],[Width],[Height],[BackColor])","")</f>
        <v>INSERT INTO DC_ReaderDisplayProperties ([Tag],[Text],[X],[Y],[FontColor],[DisplayID],[ObjectID],[FontSize],[Width],[Height],[BackColor])</v>
      </c>
      <c r="BF11" s="25" t="str">
        <f t="shared" ref="BF11:BF42" si="30">IF(E11&lt;&gt;"","VALUES (@TagID, 'Image', '28', '66', '-16777216', '1', '3', '0', '-1', '-1', '0')","")</f>
        <v>VALUES (@TagID, 'Image', '28', '66', '-16777216', '1', '3', '0', '-1', '-1', '0')</v>
      </c>
      <c r="BG11" s="25" t="str">
        <f t="shared" ref="BG11:BG42" si="31">IF(E11&lt;&gt;"","INSERT INTO DC_ReaderDisplayProperties ([Tag],[Text],[X],[Y],[FontColor],[DisplayID],[ObjectID],[FontSize],[Width],[Height],[BackColor])","")</f>
        <v>INSERT INTO DC_ReaderDisplayProperties ([Tag],[Text],[X],[Y],[FontColor],[DisplayID],[ObjectID],[FontSize],[Width],[Height],[BackColor])</v>
      </c>
      <c r="BH11" s="25" t="str">
        <f t="shared" ref="BH11:BH42" si="32">IF(E11&lt;&gt;"","VALUES (@TagID, 'New Balance', '184', '76', '-16777216', '1', '4', '0', '-1', '-1', '0')","")</f>
        <v>VALUES (@TagID, 'New Balance', '184', '76', '-16777216', '1', '4', '0', '-1', '-1', '0')</v>
      </c>
      <c r="BI11" s="6" t="str">
        <f t="shared" ref="BI11:BI42" si="33">IF(E11&lt;&gt;"","INSERT INTO DC_ReaderDisplayProperties ([Tag],[Text],[X],[Y],[FontColor],[DisplayID],[ObjectID],[FontSize],[Width],[Height],[BackColor])","")</f>
        <v>INSERT INTO DC_ReaderDisplayProperties ([Tag],[Text],[X],[Y],[FontColor],[DisplayID],[ObjectID],[FontSize],[Width],[Height],[BackColor])</v>
      </c>
      <c r="BJ11" s="6" t="str">
        <f t="shared" ref="BJ11:BJ42" si="34">IF(E11&lt;&gt;"","VALUES (@TagID, '$9999.00', '214', '134', '-16777216', '1', '5', '0', '-1', '-1', '0')","")</f>
        <v>VALUES (@TagID, '$9999.00', '214', '134', '-16777216', '1', '5', '0', '-1', '-1', '0')</v>
      </c>
      <c r="BK11" s="6" t="str">
        <f t="shared" ref="BK11:BK42" si="35">IF(E11&lt;&gt;"","INSERT INTO DC_ReaderDisplayProperties ([Tag],[Text],[X],[Y],[FontColor],[DisplayID],[ObjectID],[FontSize],[Width],[Height],[BackColor])","")</f>
        <v>INSERT INTO DC_ReaderDisplayProperties ([Tag],[Text],[X],[Y],[FontColor],[DisplayID],[ObjectID],[FontSize],[Width],[Height],[BackColor])</v>
      </c>
      <c r="BL11" s="6" t="str">
        <f t="shared" ref="BL11:BL42" si="36">IF(E11&lt;&gt;"","VALUES (@TagID, 'Status Message', '16', '200', '-16777216', '1', '19', '0', '-1', '-1', '0')","")</f>
        <v>VALUES (@TagID, 'Status Message', '16', '200', '-16777216', '1', '19', '0', '-1', '-1', '0')</v>
      </c>
      <c r="BM11" s="6" t="str">
        <f t="shared" ref="BM11:BM42" si="37">IF(E11&lt;&gt;"","INSERT INTO DC_ReaderDisplayProperties ([Tag],[Text],[X],[Y],[FontColor],[DisplayID],[ObjectID],[FontSize],[Width],[Height],[BackColor])","")</f>
        <v>INSERT INTO DC_ReaderDisplayProperties ([Tag],[Text],[X],[Y],[FontColor],[DisplayID],[ObjectID],[FontSize],[Width],[Height],[BackColor])</v>
      </c>
      <c r="BN11" s="6" t="str">
        <f t="shared" ref="BN11:BN42" si="38">IF(E11&lt;&gt;"","VALUES (@TagID, 'Happy Hour', '24', '16', '-16777216', '2', '6', '0', '-1', '-1', '0')","")</f>
        <v>VALUES (@TagID, 'Happy Hour', '24', '16', '-16777216', '2', '6', '0', '-1', '-1', '0')</v>
      </c>
      <c r="BO11" s="6" t="str">
        <f t="shared" ref="BO11:BO42" si="39">IF(E11&lt;&gt;"","INSERT INTO DC_ReaderDisplayProperties ([Tag],[Text],[X],[Y],[FontColor],[DisplayID],[ObjectID],[FontSize],[Width],[Height],[BackColor])","")</f>
        <v>INSERT INTO DC_ReaderDisplayProperties ([Tag],[Text],[X],[Y],[FontColor],[DisplayID],[ObjectID],[FontSize],[Width],[Height],[BackColor])</v>
      </c>
      <c r="BP11" s="6" t="str">
        <f t="shared" ref="BP11:BP42" si="40">IF(E11&lt;&gt;"","VALUES (@TagID, '$99.99', '200', '80', '-16777216', '2', '8', '0', '-1', '-1', '0')","")</f>
        <v>VALUES (@TagID, '$99.99', '200', '80', '-16777216', '2', '8', '0', '-1', '-1', '0')</v>
      </c>
      <c r="BQ11" s="6" t="str">
        <f t="shared" ref="BQ11:BQ42" si="41">IF(E11&lt;&gt;"","INSERT INTO DC_ReaderDisplayProperties ([Tag],[Text],[X],[Y],[FontColor],[DisplayID],[ObjectID],[FontSize],[Width],[Height],[BackColor])","")</f>
        <v>INSERT INTO DC_ReaderDisplayProperties ([Tag],[Text],[X],[Y],[FontColor],[DisplayID],[ObjectID],[FontSize],[Width],[Height],[BackColor])</v>
      </c>
      <c r="BR11" s="6" t="str">
        <f t="shared" ref="BR11:BR42" si="42">IF(E11&lt;&gt;"","VALUES (@TagID, 'Status Message', '16', '200', '-16777216', '2', '20', '0', '-1', '-1', '0')","")</f>
        <v>VALUES (@TagID, 'Status Message', '16', '200', '-16777216', '2', '20', '0', '-1', '-1', '0')</v>
      </c>
      <c r="BS11" s="6" t="str">
        <f t="shared" ref="BS11:BS42" si="43">IF(E11&lt;&gt;"","INSERT INTO DC_ReaderDisplayProperties ([Tag],[Text],[X],[Y],[FontColor],[DisplayID],[ObjectID],[FontSize],[Width],[Height],[BackColor])","")</f>
        <v>INSERT INTO DC_ReaderDisplayProperties ([Tag],[Text],[X],[Y],[FontColor],[DisplayID],[ObjectID],[FontSize],[Width],[Height],[BackColor])</v>
      </c>
      <c r="BT11" s="6" t="str">
        <f t="shared" ref="BT11:BT42" si="44">IF(E11&lt;&gt;"","VALUES (@TagID, '0000', '160', '152', '-16777216', '2', '21', '0', '-1', '-1', '0')","")</f>
        <v>VALUES (@TagID, '0000', '160', '152', '-16777216', '2', '21', '0', '-1', '-1', '0')</v>
      </c>
      <c r="BU11" s="6" t="str">
        <f t="shared" ref="BU11:BU42" si="45">IF(E11&lt;&gt;"","INSERT INTO DC_ReaderDisplayProperties ([Tag],[Text],[X],[Y],[FontColor],[DisplayID],[ObjectID],[FontSize],[Width],[Height],[BackColor])","")</f>
        <v>INSERT INTO DC_ReaderDisplayProperties ([Tag],[Text],[X],[Y],[FontColor],[DisplayID],[ObjectID],[FontSize],[Width],[Height],[BackColor])</v>
      </c>
      <c r="BV11" s="6" t="str">
        <f t="shared" ref="BV11:BV42" si="46">IF(E11&lt;&gt;"","VALUES (@TagID, 'Token', '24', '152', '-16777216', '2', '22', '0', '-1', '-1', '0')","")</f>
        <v>VALUES (@TagID, 'Token', '24', '152', '-16777216', '2', '22', '0', '-1', '-1', '0')</v>
      </c>
      <c r="BW11" s="6" t="str">
        <f t="shared" ref="BW11:BW42" si="47">IF(E11&lt;&gt;"","INSERT INTO DC_ReaderDisplayProperties ([Tag],[Text],[X],[Y],[FontColor],[DisplayID],[ObjectID],[FontSize],[Width],[Height],[BackColor])","")</f>
        <v>INSERT INTO DC_ReaderDisplayProperties ([Tag],[Text],[X],[Y],[FontColor],[DisplayID],[ObjectID],[FontSize],[Width],[Height],[BackColor])</v>
      </c>
      <c r="BX11" s="6" t="str">
        <f t="shared" ref="BX11:BX42" si="48">IF(E11&lt;&gt;"","VALUES (@TagID, '000000', '54', '78', '-16777216', '3', '13', '2', '-1', '-1', '0')","")</f>
        <v>VALUES (@TagID, '000000', '54', '78', '-16777216', '3', '13', '2', '-1', '-1', '0')</v>
      </c>
    </row>
    <row r="12" spans="3:76" ht="21">
      <c r="C12" s="25">
        <v>2</v>
      </c>
      <c r="D12" s="50" t="s">
        <v>95</v>
      </c>
      <c r="E12" s="50" t="s">
        <v>97</v>
      </c>
      <c r="F12" s="51" t="s">
        <v>8</v>
      </c>
      <c r="M12" s="25" t="str">
        <f t="shared" ref="M12:M75" si="49">IF(F12="r","19",IF(F12="v","18",IF(F12="c","20",IF(F12="m","21","19"))))</f>
        <v>19</v>
      </c>
      <c r="N12" s="25" t="str">
        <f t="shared" ref="N12:N75" si="50">IF(F12="r","11",IF(F12="v","10",IF(F12="c","12",IF(F12="m","13","11"))))</f>
        <v>11</v>
      </c>
      <c r="O12" s="25" t="str">
        <f t="shared" ref="O12:O75" si="51">IF(F12="r","1",IF(F12="v","0",IF(F12="c","2",IF(F12="m","102","1"))))</f>
        <v>1</v>
      </c>
      <c r="P12" s="25" t="str">
        <f t="shared" ref="P12:P75" si="52">IF(Q12="blue","2",IF(Q12="cycle","-1",IF(Q12="red","0",IF(Q12="green","1",IF(Q12="magenta","3",IF(Q12="yellow","4",IF(Q12="cyan","5",IF(Q12="white","6","-1"))))))))</f>
        <v>4</v>
      </c>
      <c r="Q12" s="25" t="str">
        <f t="shared" ref="Q12:Q75" si="53">IF(AND(F12="v",$J$7="yes"),$J$8,$J$5)</f>
        <v>yellow</v>
      </c>
      <c r="R12" s="25" t="str">
        <f t="shared" ref="R12:R75" si="54">IF(AND(F12="v",$J$7="yes"),"True","False")</f>
        <v>False</v>
      </c>
      <c r="S12" s="25"/>
      <c r="T12" s="25" t="str">
        <f t="shared" ref="T12:T75" si="55">IF(F12="r","True","False")</f>
        <v>True</v>
      </c>
      <c r="AA12" s="25" t="str">
        <f t="shared" si="0"/>
        <v>INSERT INTO DC_OnlineDevices ([Description], [MAC_ID], [Device Type], [Location Code])</v>
      </c>
      <c r="AB12" s="25" t="str">
        <f t="shared" si="1"/>
        <v>VALUES ('Fusion Skeeball', '408432322592', '100', '6');</v>
      </c>
      <c r="AD12" s="25" t="str">
        <f t="shared" si="2"/>
        <v>SET @TagID = SCOPE_IDENTITY();</v>
      </c>
      <c r="AE12" s="25" t="str">
        <f t="shared" si="3"/>
        <v xml:space="preserve">INSERT INTO DC_ArcadeGameDef  ([Tag], [Cash Play Price], [Game Group ID], [Game Sub Group ID], [Asset Tag], [Allow Time Play], [TimeBetweenPlays], [ConsecutivePlays], [PulsePauseWidth], [Device_Interface], [TicketPulseWidth], </v>
      </c>
      <c r="AF12" s="25" t="str">
        <f t="shared" si="4"/>
        <v xml:space="preserve">[ElecronitcTickets], [ActiveButtonCount], [Button1_Value], [Button2_Value], [Button3_Value], [Button1_Pulses], [Button2_Pulses], [Button3_Pulses], [Model], [eclipse_HappyHour], [eclipse_BaseColor], [GlowOption], [CoinPerPulse], </v>
      </c>
      <c r="AG12" s="25" t="str">
        <f t="shared" si="5"/>
        <v>[HopperTimeOut], [CreditCardEnable], [MercyPoints], [SupplementalBackgrounds])</v>
      </c>
      <c r="AH12" s="25" t="str">
        <f t="shared" si="6"/>
        <v>VALUES (@TagID, '2.0000', '19', '11', @TagID, 'False', '10', '3', '100', '1', '3', 'True', '0', '0.0000', '0.0000', '0.0000', '0', '0', '0', '3', '-1', '4', 'True', '1', '100', 'True', '0', 'False');</v>
      </c>
      <c r="AI12" s="25" t="str">
        <f t="shared" si="7"/>
        <v>INSERT INTO DC_ArcadeReaderImages ([Tag], [ID], [Background], [Foreground], [DisplaySettings])</v>
      </c>
      <c r="AJ12" s="25" t="str">
        <f t="shared" si="8"/>
        <v>VALUES (@TagID, '0', '-1', '-1', '1')</v>
      </c>
      <c r="AK12" s="25" t="str">
        <f t="shared" si="9"/>
        <v>INSERT INTO DC_ArcadeReaderImages ([Tag], [ID], [Background], [Foreground], [DisplaySettings])</v>
      </c>
      <c r="AL12" s="25" t="str">
        <f t="shared" si="10"/>
        <v>VALUES (@TagID, '1', '-1', '-1', '1')</v>
      </c>
      <c r="AM12" s="25" t="str">
        <f t="shared" si="11"/>
        <v>INSERT INTO DC_ArcadeReaderImages ([Tag], [ID], [Background], [Foreground], [DisplaySettings])</v>
      </c>
      <c r="AN12" s="25" t="str">
        <f t="shared" si="12"/>
        <v>VALUES (@TagID, '2', '-1', '-1', '1')</v>
      </c>
      <c r="AO12" s="25" t="str">
        <f t="shared" si="13"/>
        <v>INSERT INTO DC_ArcadeReaderImages ([Tag], [ID], [Background], [Foreground], [DisplaySettings])</v>
      </c>
      <c r="AP12" s="25" t="str">
        <f t="shared" si="14"/>
        <v>VALUES (@TagID, '3', '-1', '-1', '1')</v>
      </c>
      <c r="AQ12" s="25" t="str">
        <f t="shared" si="15"/>
        <v>INSERT INTO DC_ArcadeReaderImages ([Tag], [ID], [Background], [Foreground], [DisplaySettings])</v>
      </c>
      <c r="AR12" s="25" t="str">
        <f t="shared" si="16"/>
        <v>VALUES (@TagID, '4', '-1', '-1', '1')</v>
      </c>
      <c r="AS12" s="25" t="str">
        <f t="shared" si="17"/>
        <v>INSERT INTO DC_ReaderDisplayProperties ([Tag],[Text],[X],[Y],[FontColor],[DisplayID],[ObjectID],[FontSize],[Width],[Height],[BackColor])</v>
      </c>
      <c r="AT12" s="25" t="str">
        <f t="shared" si="18"/>
        <v>VALUES (@TagID, 'Play', '5', '3', '-16777216', '0', '0', '0', '-1', '-1', '0')</v>
      </c>
      <c r="AU12" s="25" t="str">
        <f t="shared" si="19"/>
        <v>INSERT INTO DC_ReaderDisplayProperties ([Tag],[Text],[X],[Y],[FontColor],[DisplayID],[ObjectID],[FontSize],[Width],[Height],[BackColor])</v>
      </c>
      <c r="AV12" s="25" t="str">
        <f t="shared" si="20"/>
        <v>VALUES (@TagID, '$0.00', '5', '104', '-16777216', '0', '1', '0', '-1', '-1', '0')</v>
      </c>
      <c r="AW12" s="25" t="str">
        <f t="shared" si="21"/>
        <v>INSERT INTO DC_ReaderDisplayProperties ([Tag],[Text],[X],[Y],[FontColor],[DisplayID],[ObjectID],[FontSize],[Width],[Height],[BackColor])</v>
      </c>
      <c r="AX12" s="25" t="str">
        <f t="shared" si="22"/>
        <v>VALUES (@TagID, 'Token', '208', '16', '-16777216', '0', '16', '0', '-1', '-1', '0')</v>
      </c>
      <c r="AY12" s="25" t="str">
        <f t="shared" si="23"/>
        <v>INSERT INTO DC_ReaderDisplayProperties ([Tag],[Text],[X],[Y],[FontColor],[DisplayID],[ObjectID],[FontSize],[Width],[Height],[BackColor])</v>
      </c>
      <c r="AZ12" s="25" t="str">
        <f t="shared" si="24"/>
        <v>VALUES (@TagID, '000000', '232', '56', '-16777216', '0', '17', '0', '-1', '-1', '0')</v>
      </c>
      <c r="BA12" s="25" t="str">
        <f t="shared" si="25"/>
        <v>INSERT INTO DC_ReaderDisplayProperties ([Tag],[Text],[X],[Y],[FontColor],[DisplayID],[ObjectID],[FontSize],[Width],[Height],[BackColor])</v>
      </c>
      <c r="BB12" s="25" t="str">
        <f t="shared" si="26"/>
        <v>VALUES (@TagID, 'Status Message', '8', '200', '-16777216', '0', '18', '0', '-1', '-1', '0')</v>
      </c>
      <c r="BC12" s="25" t="str">
        <f t="shared" si="27"/>
        <v>INSERT INTO DC_ReaderDisplayProperties ([Tag],[Text],[X],[Y],[FontColor],[DisplayID],[ObjectID],[FontSize],[Width],[Height],[BackColor])</v>
      </c>
      <c r="BD12" s="25" t="str">
        <f t="shared" si="28"/>
        <v>VALUES (@TagID, 'Josh Colby, Vibranium Member', '5', '3', '-16777216', '1', '2', '0', '-1', '-1', '0')</v>
      </c>
      <c r="BE12" s="25" t="str">
        <f t="shared" si="29"/>
        <v>INSERT INTO DC_ReaderDisplayProperties ([Tag],[Text],[X],[Y],[FontColor],[DisplayID],[ObjectID],[FontSize],[Width],[Height],[BackColor])</v>
      </c>
      <c r="BF12" s="25" t="str">
        <f t="shared" si="30"/>
        <v>VALUES (@TagID, 'Image', '28', '66', '-16777216', '1', '3', '0', '-1', '-1', '0')</v>
      </c>
      <c r="BG12" s="25" t="str">
        <f t="shared" si="31"/>
        <v>INSERT INTO DC_ReaderDisplayProperties ([Tag],[Text],[X],[Y],[FontColor],[DisplayID],[ObjectID],[FontSize],[Width],[Height],[BackColor])</v>
      </c>
      <c r="BH12" s="25" t="str">
        <f t="shared" si="32"/>
        <v>VALUES (@TagID, 'New Balance', '184', '76', '-16777216', '1', '4', '0', '-1', '-1', '0')</v>
      </c>
      <c r="BI12" s="6" t="str">
        <f t="shared" si="33"/>
        <v>INSERT INTO DC_ReaderDisplayProperties ([Tag],[Text],[X],[Y],[FontColor],[DisplayID],[ObjectID],[FontSize],[Width],[Height],[BackColor])</v>
      </c>
      <c r="BJ12" s="6" t="str">
        <f t="shared" si="34"/>
        <v>VALUES (@TagID, '$9999.00', '214', '134', '-16777216', '1', '5', '0', '-1', '-1', '0')</v>
      </c>
      <c r="BK12" s="6" t="str">
        <f t="shared" si="35"/>
        <v>INSERT INTO DC_ReaderDisplayProperties ([Tag],[Text],[X],[Y],[FontColor],[DisplayID],[ObjectID],[FontSize],[Width],[Height],[BackColor])</v>
      </c>
      <c r="BL12" s="6" t="str">
        <f t="shared" si="36"/>
        <v>VALUES (@TagID, 'Status Message', '16', '200', '-16777216', '1', '19', '0', '-1', '-1', '0')</v>
      </c>
      <c r="BM12" s="6" t="str">
        <f t="shared" si="37"/>
        <v>INSERT INTO DC_ReaderDisplayProperties ([Tag],[Text],[X],[Y],[FontColor],[DisplayID],[ObjectID],[FontSize],[Width],[Height],[BackColor])</v>
      </c>
      <c r="BN12" s="6" t="str">
        <f t="shared" si="38"/>
        <v>VALUES (@TagID, 'Happy Hour', '24', '16', '-16777216', '2', '6', '0', '-1', '-1', '0')</v>
      </c>
      <c r="BO12" s="6" t="str">
        <f t="shared" si="39"/>
        <v>INSERT INTO DC_ReaderDisplayProperties ([Tag],[Text],[X],[Y],[FontColor],[DisplayID],[ObjectID],[FontSize],[Width],[Height],[BackColor])</v>
      </c>
      <c r="BP12" s="6" t="str">
        <f t="shared" si="40"/>
        <v>VALUES (@TagID, '$99.99', '200', '80', '-16777216', '2', '8', '0', '-1', '-1', '0')</v>
      </c>
      <c r="BQ12" s="6" t="str">
        <f t="shared" si="41"/>
        <v>INSERT INTO DC_ReaderDisplayProperties ([Tag],[Text],[X],[Y],[FontColor],[DisplayID],[ObjectID],[FontSize],[Width],[Height],[BackColor])</v>
      </c>
      <c r="BR12" s="6" t="str">
        <f t="shared" si="42"/>
        <v>VALUES (@TagID, 'Status Message', '16', '200', '-16777216', '2', '20', '0', '-1', '-1', '0')</v>
      </c>
      <c r="BS12" s="6" t="str">
        <f t="shared" si="43"/>
        <v>INSERT INTO DC_ReaderDisplayProperties ([Tag],[Text],[X],[Y],[FontColor],[DisplayID],[ObjectID],[FontSize],[Width],[Height],[BackColor])</v>
      </c>
      <c r="BT12" s="6" t="str">
        <f t="shared" si="44"/>
        <v>VALUES (@TagID, '0000', '160', '152', '-16777216', '2', '21', '0', '-1', '-1', '0')</v>
      </c>
      <c r="BU12" s="6" t="str">
        <f t="shared" si="45"/>
        <v>INSERT INTO DC_ReaderDisplayProperties ([Tag],[Text],[X],[Y],[FontColor],[DisplayID],[ObjectID],[FontSize],[Width],[Height],[BackColor])</v>
      </c>
      <c r="BV12" s="6" t="str">
        <f t="shared" si="46"/>
        <v>VALUES (@TagID, 'Token', '24', '152', '-16777216', '2', '22', '0', '-1', '-1', '0')</v>
      </c>
      <c r="BW12" s="6" t="str">
        <f t="shared" si="47"/>
        <v>INSERT INTO DC_ReaderDisplayProperties ([Tag],[Text],[X],[Y],[FontColor],[DisplayID],[ObjectID],[FontSize],[Width],[Height],[BackColor])</v>
      </c>
      <c r="BX12" s="6" t="str">
        <f t="shared" si="48"/>
        <v>VALUES (@TagID, '000000', '54', '78', '-16777216', '3', '13', '2', '-1', '-1', '0')</v>
      </c>
    </row>
    <row r="13" spans="3:76" ht="21">
      <c r="C13" s="25">
        <v>3</v>
      </c>
      <c r="D13" s="50" t="s">
        <v>98</v>
      </c>
      <c r="E13" s="50" t="s">
        <v>99</v>
      </c>
      <c r="F13" s="51" t="s">
        <v>8</v>
      </c>
      <c r="M13" s="25" t="str">
        <f t="shared" si="49"/>
        <v>19</v>
      </c>
      <c r="N13" s="25" t="str">
        <f t="shared" si="50"/>
        <v>11</v>
      </c>
      <c r="O13" s="25" t="str">
        <f t="shared" si="51"/>
        <v>1</v>
      </c>
      <c r="P13" s="25" t="str">
        <f t="shared" si="52"/>
        <v>4</v>
      </c>
      <c r="Q13" s="25" t="str">
        <f t="shared" si="53"/>
        <v>yellow</v>
      </c>
      <c r="R13" s="25" t="str">
        <f t="shared" si="54"/>
        <v>False</v>
      </c>
      <c r="S13" s="25"/>
      <c r="T13" s="25" t="str">
        <f t="shared" si="55"/>
        <v>True</v>
      </c>
      <c r="AA13" s="25" t="str">
        <f t="shared" si="0"/>
        <v>INSERT INTO DC_OnlineDevices ([Description], [MAC_ID], [Device Type], [Location Code])</v>
      </c>
      <c r="AB13" s="25" t="str">
        <f t="shared" si="1"/>
        <v>VALUES ('Gemini Big USA ver', '4084323222E7', '100', '6');</v>
      </c>
      <c r="AD13" s="25" t="str">
        <f t="shared" si="2"/>
        <v>SET @TagID = SCOPE_IDENTITY();</v>
      </c>
      <c r="AE13" s="25" t="str">
        <f t="shared" si="3"/>
        <v xml:space="preserve">INSERT INTO DC_ArcadeGameDef  ([Tag], [Cash Play Price], [Game Group ID], [Game Sub Group ID], [Asset Tag], [Allow Time Play], [TimeBetweenPlays], [ConsecutivePlays], [PulsePauseWidth], [Device_Interface], [TicketPulseWidth], </v>
      </c>
      <c r="AF13" s="25" t="str">
        <f t="shared" si="4"/>
        <v xml:space="preserve">[ElecronitcTickets], [ActiveButtonCount], [Button1_Value], [Button2_Value], [Button3_Value], [Button1_Pulses], [Button2_Pulses], [Button3_Pulses], [Model], [eclipse_HappyHour], [eclipse_BaseColor], [GlowOption], [CoinPerPulse], </v>
      </c>
      <c r="AG13" s="25" t="str">
        <f t="shared" si="5"/>
        <v>[HopperTimeOut], [CreditCardEnable], [MercyPoints], [SupplementalBackgrounds])</v>
      </c>
      <c r="AH13" s="25" t="str">
        <f t="shared" si="6"/>
        <v>VALUES (@TagID, '2.0000', '19', '11', @TagID, 'False', '10', '3', '100', '1', '3', 'True', '0', '0.0000', '0.0000', '0.0000', '0', '0', '0', '3', '-1', '4', 'True', '1', '100', 'True', '0', 'False');</v>
      </c>
      <c r="AI13" s="25" t="str">
        <f t="shared" si="7"/>
        <v>INSERT INTO DC_ArcadeReaderImages ([Tag], [ID], [Background], [Foreground], [DisplaySettings])</v>
      </c>
      <c r="AJ13" s="25" t="str">
        <f t="shared" si="8"/>
        <v>VALUES (@TagID, '0', '-1', '-1', '1')</v>
      </c>
      <c r="AK13" s="25" t="str">
        <f t="shared" si="9"/>
        <v>INSERT INTO DC_ArcadeReaderImages ([Tag], [ID], [Background], [Foreground], [DisplaySettings])</v>
      </c>
      <c r="AL13" s="25" t="str">
        <f t="shared" si="10"/>
        <v>VALUES (@TagID, '1', '-1', '-1', '1')</v>
      </c>
      <c r="AM13" s="25" t="str">
        <f t="shared" si="11"/>
        <v>INSERT INTO DC_ArcadeReaderImages ([Tag], [ID], [Background], [Foreground], [DisplaySettings])</v>
      </c>
      <c r="AN13" s="25" t="str">
        <f t="shared" si="12"/>
        <v>VALUES (@TagID, '2', '-1', '-1', '1')</v>
      </c>
      <c r="AO13" s="25" t="str">
        <f t="shared" si="13"/>
        <v>INSERT INTO DC_ArcadeReaderImages ([Tag], [ID], [Background], [Foreground], [DisplaySettings])</v>
      </c>
      <c r="AP13" s="25" t="str">
        <f t="shared" si="14"/>
        <v>VALUES (@TagID, '3', '-1', '-1', '1')</v>
      </c>
      <c r="AQ13" s="25" t="str">
        <f t="shared" si="15"/>
        <v>INSERT INTO DC_ArcadeReaderImages ([Tag], [ID], [Background], [Foreground], [DisplaySettings])</v>
      </c>
      <c r="AR13" s="25" t="str">
        <f t="shared" si="16"/>
        <v>VALUES (@TagID, '4', '-1', '-1', '1')</v>
      </c>
      <c r="AS13" s="25" t="str">
        <f t="shared" si="17"/>
        <v>INSERT INTO DC_ReaderDisplayProperties ([Tag],[Text],[X],[Y],[FontColor],[DisplayID],[ObjectID],[FontSize],[Width],[Height],[BackColor])</v>
      </c>
      <c r="AT13" s="25" t="str">
        <f t="shared" si="18"/>
        <v>VALUES (@TagID, 'Play', '5', '3', '-16777216', '0', '0', '0', '-1', '-1', '0')</v>
      </c>
      <c r="AU13" s="25" t="str">
        <f t="shared" si="19"/>
        <v>INSERT INTO DC_ReaderDisplayProperties ([Tag],[Text],[X],[Y],[FontColor],[DisplayID],[ObjectID],[FontSize],[Width],[Height],[BackColor])</v>
      </c>
      <c r="AV13" s="25" t="str">
        <f t="shared" si="20"/>
        <v>VALUES (@TagID, '$0.00', '5', '104', '-16777216', '0', '1', '0', '-1', '-1', '0')</v>
      </c>
      <c r="AW13" s="25" t="str">
        <f t="shared" si="21"/>
        <v>INSERT INTO DC_ReaderDisplayProperties ([Tag],[Text],[X],[Y],[FontColor],[DisplayID],[ObjectID],[FontSize],[Width],[Height],[BackColor])</v>
      </c>
      <c r="AX13" s="25" t="str">
        <f t="shared" si="22"/>
        <v>VALUES (@TagID, 'Token', '208', '16', '-16777216', '0', '16', '0', '-1', '-1', '0')</v>
      </c>
      <c r="AY13" s="25" t="str">
        <f t="shared" si="23"/>
        <v>INSERT INTO DC_ReaderDisplayProperties ([Tag],[Text],[X],[Y],[FontColor],[DisplayID],[ObjectID],[FontSize],[Width],[Height],[BackColor])</v>
      </c>
      <c r="AZ13" s="25" t="str">
        <f t="shared" si="24"/>
        <v>VALUES (@TagID, '000000', '232', '56', '-16777216', '0', '17', '0', '-1', '-1', '0')</v>
      </c>
      <c r="BA13" s="25" t="str">
        <f t="shared" si="25"/>
        <v>INSERT INTO DC_ReaderDisplayProperties ([Tag],[Text],[X],[Y],[FontColor],[DisplayID],[ObjectID],[FontSize],[Width],[Height],[BackColor])</v>
      </c>
      <c r="BB13" s="25" t="str">
        <f t="shared" si="26"/>
        <v>VALUES (@TagID, 'Status Message', '8', '200', '-16777216', '0', '18', '0', '-1', '-1', '0')</v>
      </c>
      <c r="BC13" s="25" t="str">
        <f t="shared" si="27"/>
        <v>INSERT INTO DC_ReaderDisplayProperties ([Tag],[Text],[X],[Y],[FontColor],[DisplayID],[ObjectID],[FontSize],[Width],[Height],[BackColor])</v>
      </c>
      <c r="BD13" s="25" t="str">
        <f t="shared" si="28"/>
        <v>VALUES (@TagID, 'Josh Colby, Vibranium Member', '5', '3', '-16777216', '1', '2', '0', '-1', '-1', '0')</v>
      </c>
      <c r="BE13" s="25" t="str">
        <f t="shared" si="29"/>
        <v>INSERT INTO DC_ReaderDisplayProperties ([Tag],[Text],[X],[Y],[FontColor],[DisplayID],[ObjectID],[FontSize],[Width],[Height],[BackColor])</v>
      </c>
      <c r="BF13" s="25" t="str">
        <f t="shared" si="30"/>
        <v>VALUES (@TagID, 'Image', '28', '66', '-16777216', '1', '3', '0', '-1', '-1', '0')</v>
      </c>
      <c r="BG13" s="25" t="str">
        <f t="shared" si="31"/>
        <v>INSERT INTO DC_ReaderDisplayProperties ([Tag],[Text],[X],[Y],[FontColor],[DisplayID],[ObjectID],[FontSize],[Width],[Height],[BackColor])</v>
      </c>
      <c r="BH13" s="25" t="str">
        <f t="shared" si="32"/>
        <v>VALUES (@TagID, 'New Balance', '184', '76', '-16777216', '1', '4', '0', '-1', '-1', '0')</v>
      </c>
      <c r="BI13" s="6" t="str">
        <f t="shared" si="33"/>
        <v>INSERT INTO DC_ReaderDisplayProperties ([Tag],[Text],[X],[Y],[FontColor],[DisplayID],[ObjectID],[FontSize],[Width],[Height],[BackColor])</v>
      </c>
      <c r="BJ13" s="6" t="str">
        <f t="shared" si="34"/>
        <v>VALUES (@TagID, '$9999.00', '214', '134', '-16777216', '1', '5', '0', '-1', '-1', '0')</v>
      </c>
      <c r="BK13" s="6" t="str">
        <f t="shared" si="35"/>
        <v>INSERT INTO DC_ReaderDisplayProperties ([Tag],[Text],[X],[Y],[FontColor],[DisplayID],[ObjectID],[FontSize],[Width],[Height],[BackColor])</v>
      </c>
      <c r="BL13" s="6" t="str">
        <f t="shared" si="36"/>
        <v>VALUES (@TagID, 'Status Message', '16', '200', '-16777216', '1', '19', '0', '-1', '-1', '0')</v>
      </c>
      <c r="BM13" s="6" t="str">
        <f t="shared" si="37"/>
        <v>INSERT INTO DC_ReaderDisplayProperties ([Tag],[Text],[X],[Y],[FontColor],[DisplayID],[ObjectID],[FontSize],[Width],[Height],[BackColor])</v>
      </c>
      <c r="BN13" s="6" t="str">
        <f t="shared" si="38"/>
        <v>VALUES (@TagID, 'Happy Hour', '24', '16', '-16777216', '2', '6', '0', '-1', '-1', '0')</v>
      </c>
      <c r="BO13" s="6" t="str">
        <f t="shared" si="39"/>
        <v>INSERT INTO DC_ReaderDisplayProperties ([Tag],[Text],[X],[Y],[FontColor],[DisplayID],[ObjectID],[FontSize],[Width],[Height],[BackColor])</v>
      </c>
      <c r="BP13" s="6" t="str">
        <f t="shared" si="40"/>
        <v>VALUES (@TagID, '$99.99', '200', '80', '-16777216', '2', '8', '0', '-1', '-1', '0')</v>
      </c>
      <c r="BQ13" s="6" t="str">
        <f t="shared" si="41"/>
        <v>INSERT INTO DC_ReaderDisplayProperties ([Tag],[Text],[X],[Y],[FontColor],[DisplayID],[ObjectID],[FontSize],[Width],[Height],[BackColor])</v>
      </c>
      <c r="BR13" s="6" t="str">
        <f t="shared" si="42"/>
        <v>VALUES (@TagID, 'Status Message', '16', '200', '-16777216', '2', '20', '0', '-1', '-1', '0')</v>
      </c>
      <c r="BS13" s="6" t="str">
        <f t="shared" si="43"/>
        <v>INSERT INTO DC_ReaderDisplayProperties ([Tag],[Text],[X],[Y],[FontColor],[DisplayID],[ObjectID],[FontSize],[Width],[Height],[BackColor])</v>
      </c>
      <c r="BT13" s="6" t="str">
        <f t="shared" si="44"/>
        <v>VALUES (@TagID, '0000', '160', '152', '-16777216', '2', '21', '0', '-1', '-1', '0')</v>
      </c>
      <c r="BU13" s="6" t="str">
        <f t="shared" si="45"/>
        <v>INSERT INTO DC_ReaderDisplayProperties ([Tag],[Text],[X],[Y],[FontColor],[DisplayID],[ObjectID],[FontSize],[Width],[Height],[BackColor])</v>
      </c>
      <c r="BV13" s="6" t="str">
        <f t="shared" si="46"/>
        <v>VALUES (@TagID, 'Token', '24', '152', '-16777216', '2', '22', '0', '-1', '-1', '0')</v>
      </c>
      <c r="BW13" s="6" t="str">
        <f t="shared" si="47"/>
        <v>INSERT INTO DC_ReaderDisplayProperties ([Tag],[Text],[X],[Y],[FontColor],[DisplayID],[ObjectID],[FontSize],[Width],[Height],[BackColor])</v>
      </c>
      <c r="BX13" s="6" t="str">
        <f t="shared" si="48"/>
        <v>VALUES (@TagID, '000000', '54', '78', '-16777216', '3', '13', '2', '-1', '-1', '0')</v>
      </c>
    </row>
    <row r="14" spans="3:76" ht="21">
      <c r="C14" s="25">
        <v>4</v>
      </c>
      <c r="D14" s="50" t="s">
        <v>98</v>
      </c>
      <c r="E14" s="50" t="s">
        <v>100</v>
      </c>
      <c r="F14" s="51" t="s">
        <v>8</v>
      </c>
      <c r="M14" s="25" t="str">
        <f t="shared" si="49"/>
        <v>19</v>
      </c>
      <c r="N14" s="25" t="str">
        <f t="shared" si="50"/>
        <v>11</v>
      </c>
      <c r="O14" s="25" t="str">
        <f t="shared" si="51"/>
        <v>1</v>
      </c>
      <c r="P14" s="25" t="str">
        <f t="shared" si="52"/>
        <v>4</v>
      </c>
      <c r="Q14" s="25" t="str">
        <f t="shared" si="53"/>
        <v>yellow</v>
      </c>
      <c r="R14" s="25" t="str">
        <f t="shared" si="54"/>
        <v>False</v>
      </c>
      <c r="S14" s="25"/>
      <c r="T14" s="25" t="str">
        <f t="shared" si="55"/>
        <v>True</v>
      </c>
      <c r="AA14" s="25" t="str">
        <f t="shared" si="0"/>
        <v>INSERT INTO DC_OnlineDevices ([Description], [MAC_ID], [Device Type], [Location Code])</v>
      </c>
      <c r="AB14" s="25" t="str">
        <f t="shared" si="1"/>
        <v>VALUES ('Gemini Big USA ver', '408432322456', '100', '6');</v>
      </c>
      <c r="AD14" s="25" t="str">
        <f t="shared" si="2"/>
        <v>SET @TagID = SCOPE_IDENTITY();</v>
      </c>
      <c r="AE14" s="25" t="str">
        <f t="shared" si="3"/>
        <v xml:space="preserve">INSERT INTO DC_ArcadeGameDef  ([Tag], [Cash Play Price], [Game Group ID], [Game Sub Group ID], [Asset Tag], [Allow Time Play], [TimeBetweenPlays], [ConsecutivePlays], [PulsePauseWidth], [Device_Interface], [TicketPulseWidth], </v>
      </c>
      <c r="AF14" s="25" t="str">
        <f t="shared" si="4"/>
        <v xml:space="preserve">[ElecronitcTickets], [ActiveButtonCount], [Button1_Value], [Button2_Value], [Button3_Value], [Button1_Pulses], [Button2_Pulses], [Button3_Pulses], [Model], [eclipse_HappyHour], [eclipse_BaseColor], [GlowOption], [CoinPerPulse], </v>
      </c>
      <c r="AG14" s="25" t="str">
        <f t="shared" si="5"/>
        <v>[HopperTimeOut], [CreditCardEnable], [MercyPoints], [SupplementalBackgrounds])</v>
      </c>
      <c r="AH14" s="25" t="str">
        <f t="shared" si="6"/>
        <v>VALUES (@TagID, '2.0000', '19', '11', @TagID, 'False', '10', '3', '100', '1', '3', 'True', '0', '0.0000', '0.0000', '0.0000', '0', '0', '0', '3', '-1', '4', 'True', '1', '100', 'True', '0', 'False');</v>
      </c>
      <c r="AI14" s="25" t="str">
        <f t="shared" si="7"/>
        <v>INSERT INTO DC_ArcadeReaderImages ([Tag], [ID], [Background], [Foreground], [DisplaySettings])</v>
      </c>
      <c r="AJ14" s="25" t="str">
        <f t="shared" si="8"/>
        <v>VALUES (@TagID, '0', '-1', '-1', '1')</v>
      </c>
      <c r="AK14" s="25" t="str">
        <f t="shared" si="9"/>
        <v>INSERT INTO DC_ArcadeReaderImages ([Tag], [ID], [Background], [Foreground], [DisplaySettings])</v>
      </c>
      <c r="AL14" s="25" t="str">
        <f t="shared" si="10"/>
        <v>VALUES (@TagID, '1', '-1', '-1', '1')</v>
      </c>
      <c r="AM14" s="25" t="str">
        <f t="shared" si="11"/>
        <v>INSERT INTO DC_ArcadeReaderImages ([Tag], [ID], [Background], [Foreground], [DisplaySettings])</v>
      </c>
      <c r="AN14" s="25" t="str">
        <f t="shared" si="12"/>
        <v>VALUES (@TagID, '2', '-1', '-1', '1')</v>
      </c>
      <c r="AO14" s="25" t="str">
        <f t="shared" si="13"/>
        <v>INSERT INTO DC_ArcadeReaderImages ([Tag], [ID], [Background], [Foreground], [DisplaySettings])</v>
      </c>
      <c r="AP14" s="25" t="str">
        <f t="shared" si="14"/>
        <v>VALUES (@TagID, '3', '-1', '-1', '1')</v>
      </c>
      <c r="AQ14" s="25" t="str">
        <f t="shared" si="15"/>
        <v>INSERT INTO DC_ArcadeReaderImages ([Tag], [ID], [Background], [Foreground], [DisplaySettings])</v>
      </c>
      <c r="AR14" s="25" t="str">
        <f t="shared" si="16"/>
        <v>VALUES (@TagID, '4', '-1', '-1', '1')</v>
      </c>
      <c r="AS14" s="25" t="str">
        <f t="shared" si="17"/>
        <v>INSERT INTO DC_ReaderDisplayProperties ([Tag],[Text],[X],[Y],[FontColor],[DisplayID],[ObjectID],[FontSize],[Width],[Height],[BackColor])</v>
      </c>
      <c r="AT14" s="25" t="str">
        <f t="shared" si="18"/>
        <v>VALUES (@TagID, 'Play', '5', '3', '-16777216', '0', '0', '0', '-1', '-1', '0')</v>
      </c>
      <c r="AU14" s="25" t="str">
        <f t="shared" si="19"/>
        <v>INSERT INTO DC_ReaderDisplayProperties ([Tag],[Text],[X],[Y],[FontColor],[DisplayID],[ObjectID],[FontSize],[Width],[Height],[BackColor])</v>
      </c>
      <c r="AV14" s="25" t="str">
        <f t="shared" si="20"/>
        <v>VALUES (@TagID, '$0.00', '5', '104', '-16777216', '0', '1', '0', '-1', '-1', '0')</v>
      </c>
      <c r="AW14" s="25" t="str">
        <f t="shared" si="21"/>
        <v>INSERT INTO DC_ReaderDisplayProperties ([Tag],[Text],[X],[Y],[FontColor],[DisplayID],[ObjectID],[FontSize],[Width],[Height],[BackColor])</v>
      </c>
      <c r="AX14" s="25" t="str">
        <f t="shared" si="22"/>
        <v>VALUES (@TagID, 'Token', '208', '16', '-16777216', '0', '16', '0', '-1', '-1', '0')</v>
      </c>
      <c r="AY14" s="25" t="str">
        <f t="shared" si="23"/>
        <v>INSERT INTO DC_ReaderDisplayProperties ([Tag],[Text],[X],[Y],[FontColor],[DisplayID],[ObjectID],[FontSize],[Width],[Height],[BackColor])</v>
      </c>
      <c r="AZ14" s="25" t="str">
        <f t="shared" si="24"/>
        <v>VALUES (@TagID, '000000', '232', '56', '-16777216', '0', '17', '0', '-1', '-1', '0')</v>
      </c>
      <c r="BA14" s="25" t="str">
        <f t="shared" si="25"/>
        <v>INSERT INTO DC_ReaderDisplayProperties ([Tag],[Text],[X],[Y],[FontColor],[DisplayID],[ObjectID],[FontSize],[Width],[Height],[BackColor])</v>
      </c>
      <c r="BB14" s="25" t="str">
        <f t="shared" si="26"/>
        <v>VALUES (@TagID, 'Status Message', '8', '200', '-16777216', '0', '18', '0', '-1', '-1', '0')</v>
      </c>
      <c r="BC14" s="25" t="str">
        <f t="shared" si="27"/>
        <v>INSERT INTO DC_ReaderDisplayProperties ([Tag],[Text],[X],[Y],[FontColor],[DisplayID],[ObjectID],[FontSize],[Width],[Height],[BackColor])</v>
      </c>
      <c r="BD14" s="25" t="str">
        <f t="shared" si="28"/>
        <v>VALUES (@TagID, 'Josh Colby, Vibranium Member', '5', '3', '-16777216', '1', '2', '0', '-1', '-1', '0')</v>
      </c>
      <c r="BE14" s="25" t="str">
        <f t="shared" si="29"/>
        <v>INSERT INTO DC_ReaderDisplayProperties ([Tag],[Text],[X],[Y],[FontColor],[DisplayID],[ObjectID],[FontSize],[Width],[Height],[BackColor])</v>
      </c>
      <c r="BF14" s="25" t="str">
        <f t="shared" si="30"/>
        <v>VALUES (@TagID, 'Image', '28', '66', '-16777216', '1', '3', '0', '-1', '-1', '0')</v>
      </c>
      <c r="BG14" s="25" t="str">
        <f t="shared" si="31"/>
        <v>INSERT INTO DC_ReaderDisplayProperties ([Tag],[Text],[X],[Y],[FontColor],[DisplayID],[ObjectID],[FontSize],[Width],[Height],[BackColor])</v>
      </c>
      <c r="BH14" s="25" t="str">
        <f t="shared" si="32"/>
        <v>VALUES (@TagID, 'New Balance', '184', '76', '-16777216', '1', '4', '0', '-1', '-1', '0')</v>
      </c>
      <c r="BI14" s="6" t="str">
        <f t="shared" si="33"/>
        <v>INSERT INTO DC_ReaderDisplayProperties ([Tag],[Text],[X],[Y],[FontColor],[DisplayID],[ObjectID],[FontSize],[Width],[Height],[BackColor])</v>
      </c>
      <c r="BJ14" s="6" t="str">
        <f t="shared" si="34"/>
        <v>VALUES (@TagID, '$9999.00', '214', '134', '-16777216', '1', '5', '0', '-1', '-1', '0')</v>
      </c>
      <c r="BK14" s="6" t="str">
        <f t="shared" si="35"/>
        <v>INSERT INTO DC_ReaderDisplayProperties ([Tag],[Text],[X],[Y],[FontColor],[DisplayID],[ObjectID],[FontSize],[Width],[Height],[BackColor])</v>
      </c>
      <c r="BL14" s="6" t="str">
        <f t="shared" si="36"/>
        <v>VALUES (@TagID, 'Status Message', '16', '200', '-16777216', '1', '19', '0', '-1', '-1', '0')</v>
      </c>
      <c r="BM14" s="6" t="str">
        <f t="shared" si="37"/>
        <v>INSERT INTO DC_ReaderDisplayProperties ([Tag],[Text],[X],[Y],[FontColor],[DisplayID],[ObjectID],[FontSize],[Width],[Height],[BackColor])</v>
      </c>
      <c r="BN14" s="6" t="str">
        <f t="shared" si="38"/>
        <v>VALUES (@TagID, 'Happy Hour', '24', '16', '-16777216', '2', '6', '0', '-1', '-1', '0')</v>
      </c>
      <c r="BO14" s="6" t="str">
        <f t="shared" si="39"/>
        <v>INSERT INTO DC_ReaderDisplayProperties ([Tag],[Text],[X],[Y],[FontColor],[DisplayID],[ObjectID],[FontSize],[Width],[Height],[BackColor])</v>
      </c>
      <c r="BP14" s="6" t="str">
        <f t="shared" si="40"/>
        <v>VALUES (@TagID, '$99.99', '200', '80', '-16777216', '2', '8', '0', '-1', '-1', '0')</v>
      </c>
      <c r="BQ14" s="6" t="str">
        <f t="shared" si="41"/>
        <v>INSERT INTO DC_ReaderDisplayProperties ([Tag],[Text],[X],[Y],[FontColor],[DisplayID],[ObjectID],[FontSize],[Width],[Height],[BackColor])</v>
      </c>
      <c r="BR14" s="6" t="str">
        <f t="shared" si="42"/>
        <v>VALUES (@TagID, 'Status Message', '16', '200', '-16777216', '2', '20', '0', '-1', '-1', '0')</v>
      </c>
      <c r="BS14" s="6" t="str">
        <f t="shared" si="43"/>
        <v>INSERT INTO DC_ReaderDisplayProperties ([Tag],[Text],[X],[Y],[FontColor],[DisplayID],[ObjectID],[FontSize],[Width],[Height],[BackColor])</v>
      </c>
      <c r="BT14" s="6" t="str">
        <f t="shared" si="44"/>
        <v>VALUES (@TagID, '0000', '160', '152', '-16777216', '2', '21', '0', '-1', '-1', '0')</v>
      </c>
      <c r="BU14" s="6" t="str">
        <f t="shared" si="45"/>
        <v>INSERT INTO DC_ReaderDisplayProperties ([Tag],[Text],[X],[Y],[FontColor],[DisplayID],[ObjectID],[FontSize],[Width],[Height],[BackColor])</v>
      </c>
      <c r="BV14" s="6" t="str">
        <f t="shared" si="46"/>
        <v>VALUES (@TagID, 'Token', '24', '152', '-16777216', '2', '22', '0', '-1', '-1', '0')</v>
      </c>
      <c r="BW14" s="6" t="str">
        <f t="shared" si="47"/>
        <v>INSERT INTO DC_ReaderDisplayProperties ([Tag],[Text],[X],[Y],[FontColor],[DisplayID],[ObjectID],[FontSize],[Width],[Height],[BackColor])</v>
      </c>
      <c r="BX14" s="6" t="str">
        <f t="shared" si="48"/>
        <v>VALUES (@TagID, '000000', '54', '78', '-16777216', '3', '13', '2', '-1', '-1', '0')</v>
      </c>
    </row>
    <row r="15" spans="3:76" ht="21">
      <c r="C15" s="25">
        <v>5</v>
      </c>
      <c r="D15" s="50" t="s">
        <v>98</v>
      </c>
      <c r="E15" s="50" t="s">
        <v>101</v>
      </c>
      <c r="F15" s="51" t="s">
        <v>8</v>
      </c>
      <c r="M15" s="25" t="str">
        <f t="shared" si="49"/>
        <v>19</v>
      </c>
      <c r="N15" s="25" t="str">
        <f t="shared" si="50"/>
        <v>11</v>
      </c>
      <c r="O15" s="25" t="str">
        <f t="shared" si="51"/>
        <v>1</v>
      </c>
      <c r="P15" s="25" t="str">
        <f t="shared" si="52"/>
        <v>4</v>
      </c>
      <c r="Q15" s="25" t="str">
        <f t="shared" si="53"/>
        <v>yellow</v>
      </c>
      <c r="R15" s="25" t="str">
        <f t="shared" si="54"/>
        <v>False</v>
      </c>
      <c r="S15" s="25"/>
      <c r="T15" s="25" t="str">
        <f t="shared" si="55"/>
        <v>True</v>
      </c>
      <c r="AA15" s="25" t="str">
        <f t="shared" si="0"/>
        <v>INSERT INTO DC_OnlineDevices ([Description], [MAC_ID], [Device Type], [Location Code])</v>
      </c>
      <c r="AB15" s="25" t="str">
        <f t="shared" si="1"/>
        <v>VALUES ('Gemini Big USA ver', '40843232251A', '100', '6');</v>
      </c>
      <c r="AD15" s="25" t="str">
        <f t="shared" si="2"/>
        <v>SET @TagID = SCOPE_IDENTITY();</v>
      </c>
      <c r="AE15" s="25" t="str">
        <f t="shared" si="3"/>
        <v xml:space="preserve">INSERT INTO DC_ArcadeGameDef  ([Tag], [Cash Play Price], [Game Group ID], [Game Sub Group ID], [Asset Tag], [Allow Time Play], [TimeBetweenPlays], [ConsecutivePlays], [PulsePauseWidth], [Device_Interface], [TicketPulseWidth], </v>
      </c>
      <c r="AF15" s="25" t="str">
        <f t="shared" si="4"/>
        <v xml:space="preserve">[ElecronitcTickets], [ActiveButtonCount], [Button1_Value], [Button2_Value], [Button3_Value], [Button1_Pulses], [Button2_Pulses], [Button3_Pulses], [Model], [eclipse_HappyHour], [eclipse_BaseColor], [GlowOption], [CoinPerPulse], </v>
      </c>
      <c r="AG15" s="25" t="str">
        <f t="shared" si="5"/>
        <v>[HopperTimeOut], [CreditCardEnable], [MercyPoints], [SupplementalBackgrounds])</v>
      </c>
      <c r="AH15" s="25" t="str">
        <f t="shared" si="6"/>
        <v>VALUES (@TagID, '2.0000', '19', '11', @TagID, 'False', '10', '3', '100', '1', '3', 'True', '0', '0.0000', '0.0000', '0.0000', '0', '0', '0', '3', '-1', '4', 'True', '1', '100', 'True', '0', 'False');</v>
      </c>
      <c r="AI15" s="25" t="str">
        <f t="shared" si="7"/>
        <v>INSERT INTO DC_ArcadeReaderImages ([Tag], [ID], [Background], [Foreground], [DisplaySettings])</v>
      </c>
      <c r="AJ15" s="25" t="str">
        <f t="shared" si="8"/>
        <v>VALUES (@TagID, '0', '-1', '-1', '1')</v>
      </c>
      <c r="AK15" s="25" t="str">
        <f t="shared" si="9"/>
        <v>INSERT INTO DC_ArcadeReaderImages ([Tag], [ID], [Background], [Foreground], [DisplaySettings])</v>
      </c>
      <c r="AL15" s="25" t="str">
        <f t="shared" si="10"/>
        <v>VALUES (@TagID, '1', '-1', '-1', '1')</v>
      </c>
      <c r="AM15" s="25" t="str">
        <f t="shared" si="11"/>
        <v>INSERT INTO DC_ArcadeReaderImages ([Tag], [ID], [Background], [Foreground], [DisplaySettings])</v>
      </c>
      <c r="AN15" s="25" t="str">
        <f t="shared" si="12"/>
        <v>VALUES (@TagID, '2', '-1', '-1', '1')</v>
      </c>
      <c r="AO15" s="25" t="str">
        <f t="shared" si="13"/>
        <v>INSERT INTO DC_ArcadeReaderImages ([Tag], [ID], [Background], [Foreground], [DisplaySettings])</v>
      </c>
      <c r="AP15" s="25" t="str">
        <f t="shared" si="14"/>
        <v>VALUES (@TagID, '3', '-1', '-1', '1')</v>
      </c>
      <c r="AQ15" s="25" t="str">
        <f t="shared" si="15"/>
        <v>INSERT INTO DC_ArcadeReaderImages ([Tag], [ID], [Background], [Foreground], [DisplaySettings])</v>
      </c>
      <c r="AR15" s="25" t="str">
        <f t="shared" si="16"/>
        <v>VALUES (@TagID, '4', '-1', '-1', '1')</v>
      </c>
      <c r="AS15" s="25" t="str">
        <f t="shared" si="17"/>
        <v>INSERT INTO DC_ReaderDisplayProperties ([Tag],[Text],[X],[Y],[FontColor],[DisplayID],[ObjectID],[FontSize],[Width],[Height],[BackColor])</v>
      </c>
      <c r="AT15" s="25" t="str">
        <f t="shared" si="18"/>
        <v>VALUES (@TagID, 'Play', '5', '3', '-16777216', '0', '0', '0', '-1', '-1', '0')</v>
      </c>
      <c r="AU15" s="25" t="str">
        <f t="shared" si="19"/>
        <v>INSERT INTO DC_ReaderDisplayProperties ([Tag],[Text],[X],[Y],[FontColor],[DisplayID],[ObjectID],[FontSize],[Width],[Height],[BackColor])</v>
      </c>
      <c r="AV15" s="25" t="str">
        <f t="shared" si="20"/>
        <v>VALUES (@TagID, '$0.00', '5', '104', '-16777216', '0', '1', '0', '-1', '-1', '0')</v>
      </c>
      <c r="AW15" s="25" t="str">
        <f t="shared" si="21"/>
        <v>INSERT INTO DC_ReaderDisplayProperties ([Tag],[Text],[X],[Y],[FontColor],[DisplayID],[ObjectID],[FontSize],[Width],[Height],[BackColor])</v>
      </c>
      <c r="AX15" s="25" t="str">
        <f t="shared" si="22"/>
        <v>VALUES (@TagID, 'Token', '208', '16', '-16777216', '0', '16', '0', '-1', '-1', '0')</v>
      </c>
      <c r="AY15" s="25" t="str">
        <f t="shared" si="23"/>
        <v>INSERT INTO DC_ReaderDisplayProperties ([Tag],[Text],[X],[Y],[FontColor],[DisplayID],[ObjectID],[FontSize],[Width],[Height],[BackColor])</v>
      </c>
      <c r="AZ15" s="25" t="str">
        <f t="shared" si="24"/>
        <v>VALUES (@TagID, '000000', '232', '56', '-16777216', '0', '17', '0', '-1', '-1', '0')</v>
      </c>
      <c r="BA15" s="25" t="str">
        <f t="shared" si="25"/>
        <v>INSERT INTO DC_ReaderDisplayProperties ([Tag],[Text],[X],[Y],[FontColor],[DisplayID],[ObjectID],[FontSize],[Width],[Height],[BackColor])</v>
      </c>
      <c r="BB15" s="25" t="str">
        <f t="shared" si="26"/>
        <v>VALUES (@TagID, 'Status Message', '8', '200', '-16777216', '0', '18', '0', '-1', '-1', '0')</v>
      </c>
      <c r="BC15" s="25" t="str">
        <f t="shared" si="27"/>
        <v>INSERT INTO DC_ReaderDisplayProperties ([Tag],[Text],[X],[Y],[FontColor],[DisplayID],[ObjectID],[FontSize],[Width],[Height],[BackColor])</v>
      </c>
      <c r="BD15" s="25" t="str">
        <f t="shared" si="28"/>
        <v>VALUES (@TagID, 'Josh Colby, Vibranium Member', '5', '3', '-16777216', '1', '2', '0', '-1', '-1', '0')</v>
      </c>
      <c r="BE15" s="25" t="str">
        <f t="shared" si="29"/>
        <v>INSERT INTO DC_ReaderDisplayProperties ([Tag],[Text],[X],[Y],[FontColor],[DisplayID],[ObjectID],[FontSize],[Width],[Height],[BackColor])</v>
      </c>
      <c r="BF15" s="25" t="str">
        <f t="shared" si="30"/>
        <v>VALUES (@TagID, 'Image', '28', '66', '-16777216', '1', '3', '0', '-1', '-1', '0')</v>
      </c>
      <c r="BG15" s="25" t="str">
        <f t="shared" si="31"/>
        <v>INSERT INTO DC_ReaderDisplayProperties ([Tag],[Text],[X],[Y],[FontColor],[DisplayID],[ObjectID],[FontSize],[Width],[Height],[BackColor])</v>
      </c>
      <c r="BH15" s="25" t="str">
        <f t="shared" si="32"/>
        <v>VALUES (@TagID, 'New Balance', '184', '76', '-16777216', '1', '4', '0', '-1', '-1', '0')</v>
      </c>
      <c r="BI15" s="6" t="str">
        <f t="shared" si="33"/>
        <v>INSERT INTO DC_ReaderDisplayProperties ([Tag],[Text],[X],[Y],[FontColor],[DisplayID],[ObjectID],[FontSize],[Width],[Height],[BackColor])</v>
      </c>
      <c r="BJ15" s="6" t="str">
        <f t="shared" si="34"/>
        <v>VALUES (@TagID, '$9999.00', '214', '134', '-16777216', '1', '5', '0', '-1', '-1', '0')</v>
      </c>
      <c r="BK15" s="6" t="str">
        <f t="shared" si="35"/>
        <v>INSERT INTO DC_ReaderDisplayProperties ([Tag],[Text],[X],[Y],[FontColor],[DisplayID],[ObjectID],[FontSize],[Width],[Height],[BackColor])</v>
      </c>
      <c r="BL15" s="6" t="str">
        <f t="shared" si="36"/>
        <v>VALUES (@TagID, 'Status Message', '16', '200', '-16777216', '1', '19', '0', '-1', '-1', '0')</v>
      </c>
      <c r="BM15" s="6" t="str">
        <f t="shared" si="37"/>
        <v>INSERT INTO DC_ReaderDisplayProperties ([Tag],[Text],[X],[Y],[FontColor],[DisplayID],[ObjectID],[FontSize],[Width],[Height],[BackColor])</v>
      </c>
      <c r="BN15" s="6" t="str">
        <f t="shared" si="38"/>
        <v>VALUES (@TagID, 'Happy Hour', '24', '16', '-16777216', '2', '6', '0', '-1', '-1', '0')</v>
      </c>
      <c r="BO15" s="6" t="str">
        <f t="shared" si="39"/>
        <v>INSERT INTO DC_ReaderDisplayProperties ([Tag],[Text],[X],[Y],[FontColor],[DisplayID],[ObjectID],[FontSize],[Width],[Height],[BackColor])</v>
      </c>
      <c r="BP15" s="6" t="str">
        <f t="shared" si="40"/>
        <v>VALUES (@TagID, '$99.99', '200', '80', '-16777216', '2', '8', '0', '-1', '-1', '0')</v>
      </c>
      <c r="BQ15" s="6" t="str">
        <f t="shared" si="41"/>
        <v>INSERT INTO DC_ReaderDisplayProperties ([Tag],[Text],[X],[Y],[FontColor],[DisplayID],[ObjectID],[FontSize],[Width],[Height],[BackColor])</v>
      </c>
      <c r="BR15" s="6" t="str">
        <f t="shared" si="42"/>
        <v>VALUES (@TagID, 'Status Message', '16', '200', '-16777216', '2', '20', '0', '-1', '-1', '0')</v>
      </c>
      <c r="BS15" s="6" t="str">
        <f t="shared" si="43"/>
        <v>INSERT INTO DC_ReaderDisplayProperties ([Tag],[Text],[X],[Y],[FontColor],[DisplayID],[ObjectID],[FontSize],[Width],[Height],[BackColor])</v>
      </c>
      <c r="BT15" s="6" t="str">
        <f t="shared" si="44"/>
        <v>VALUES (@TagID, '0000', '160', '152', '-16777216', '2', '21', '0', '-1', '-1', '0')</v>
      </c>
      <c r="BU15" s="6" t="str">
        <f t="shared" si="45"/>
        <v>INSERT INTO DC_ReaderDisplayProperties ([Tag],[Text],[X],[Y],[FontColor],[DisplayID],[ObjectID],[FontSize],[Width],[Height],[BackColor])</v>
      </c>
      <c r="BV15" s="6" t="str">
        <f t="shared" si="46"/>
        <v>VALUES (@TagID, 'Token', '24', '152', '-16777216', '2', '22', '0', '-1', '-1', '0')</v>
      </c>
      <c r="BW15" s="6" t="str">
        <f t="shared" si="47"/>
        <v>INSERT INTO DC_ReaderDisplayProperties ([Tag],[Text],[X],[Y],[FontColor],[DisplayID],[ObjectID],[FontSize],[Width],[Height],[BackColor])</v>
      </c>
      <c r="BX15" s="6" t="str">
        <f t="shared" si="48"/>
        <v>VALUES (@TagID, '000000', '54', '78', '-16777216', '3', '13', '2', '-1', '-1', '0')</v>
      </c>
    </row>
    <row r="16" spans="3:76" ht="21">
      <c r="C16" s="25">
        <v>6</v>
      </c>
      <c r="D16" s="50" t="s">
        <v>98</v>
      </c>
      <c r="E16" s="50" t="s">
        <v>102</v>
      </c>
      <c r="F16" s="51" t="s">
        <v>116</v>
      </c>
      <c r="M16" s="25" t="str">
        <f t="shared" si="49"/>
        <v>20</v>
      </c>
      <c r="N16" s="25" t="str">
        <f t="shared" si="50"/>
        <v>12</v>
      </c>
      <c r="O16" s="25" t="str">
        <f t="shared" si="51"/>
        <v>2</v>
      </c>
      <c r="P16" s="25" t="str">
        <f t="shared" si="52"/>
        <v>4</v>
      </c>
      <c r="Q16" s="25" t="str">
        <f t="shared" si="53"/>
        <v>yellow</v>
      </c>
      <c r="R16" s="25" t="str">
        <f t="shared" si="54"/>
        <v>False</v>
      </c>
      <c r="S16" s="25"/>
      <c r="T16" s="25" t="str">
        <f t="shared" si="55"/>
        <v>False</v>
      </c>
      <c r="AA16" s="25" t="str">
        <f t="shared" si="0"/>
        <v>INSERT INTO DC_OnlineDevices ([Description], [MAC_ID], [Device Type], [Location Code])</v>
      </c>
      <c r="AB16" s="25" t="str">
        <f t="shared" si="1"/>
        <v>VALUES ('Gemini Big USA ver', '408432322CF2', '100', '6');</v>
      </c>
      <c r="AD16" s="25" t="str">
        <f t="shared" si="2"/>
        <v>SET @TagID = SCOPE_IDENTITY();</v>
      </c>
      <c r="AE16" s="25" t="str">
        <f t="shared" si="3"/>
        <v xml:space="preserve">INSERT INTO DC_ArcadeGameDef  ([Tag], [Cash Play Price], [Game Group ID], [Game Sub Group ID], [Asset Tag], [Allow Time Play], [TimeBetweenPlays], [ConsecutivePlays], [PulsePauseWidth], [Device_Interface], [TicketPulseWidth], </v>
      </c>
      <c r="AF16" s="25" t="str">
        <f t="shared" si="4"/>
        <v xml:space="preserve">[ElecronitcTickets], [ActiveButtonCount], [Button1_Value], [Button2_Value], [Button3_Value], [Button1_Pulses], [Button2_Pulses], [Button3_Pulses], [Model], [eclipse_HappyHour], [eclipse_BaseColor], [GlowOption], [CoinPerPulse], </v>
      </c>
      <c r="AG16" s="25" t="str">
        <f t="shared" si="5"/>
        <v>[HopperTimeOut], [CreditCardEnable], [MercyPoints], [SupplementalBackgrounds])</v>
      </c>
      <c r="AH16" s="25" t="str">
        <f t="shared" si="6"/>
        <v>VALUES (@TagID, '2.0000', '20', '12', @TagID, 'False', '10', '3', '100', '2', '3', 'False', '0', '0.0000', '0.0000', '0.0000', '0', '0', '0', '3', '-1', '4', 'True', '1', '100', 'True', '0', 'False');</v>
      </c>
      <c r="AI16" s="25" t="str">
        <f t="shared" si="7"/>
        <v>INSERT INTO DC_ArcadeReaderImages ([Tag], [ID], [Background], [Foreground], [DisplaySettings])</v>
      </c>
      <c r="AJ16" s="25" t="str">
        <f t="shared" si="8"/>
        <v>VALUES (@TagID, '0', '-1', '-1', '1')</v>
      </c>
      <c r="AK16" s="25" t="str">
        <f t="shared" si="9"/>
        <v>INSERT INTO DC_ArcadeReaderImages ([Tag], [ID], [Background], [Foreground], [DisplaySettings])</v>
      </c>
      <c r="AL16" s="25" t="str">
        <f t="shared" si="10"/>
        <v>VALUES (@TagID, '1', '-1', '-1', '1')</v>
      </c>
      <c r="AM16" s="25" t="str">
        <f t="shared" si="11"/>
        <v>INSERT INTO DC_ArcadeReaderImages ([Tag], [ID], [Background], [Foreground], [DisplaySettings])</v>
      </c>
      <c r="AN16" s="25" t="str">
        <f t="shared" si="12"/>
        <v>VALUES (@TagID, '2', '-1', '-1', '1')</v>
      </c>
      <c r="AO16" s="25" t="str">
        <f t="shared" si="13"/>
        <v>INSERT INTO DC_ArcadeReaderImages ([Tag], [ID], [Background], [Foreground], [DisplaySettings])</v>
      </c>
      <c r="AP16" s="25" t="str">
        <f t="shared" si="14"/>
        <v>VALUES (@TagID, '3', '-1', '-1', '1')</v>
      </c>
      <c r="AQ16" s="25" t="str">
        <f t="shared" si="15"/>
        <v>INSERT INTO DC_ArcadeReaderImages ([Tag], [ID], [Background], [Foreground], [DisplaySettings])</v>
      </c>
      <c r="AR16" s="25" t="str">
        <f t="shared" si="16"/>
        <v>VALUES (@TagID, '4', '-1', '-1', '1')</v>
      </c>
      <c r="AS16" s="25" t="str">
        <f t="shared" si="17"/>
        <v>INSERT INTO DC_ReaderDisplayProperties ([Tag],[Text],[X],[Y],[FontColor],[DisplayID],[ObjectID],[FontSize],[Width],[Height],[BackColor])</v>
      </c>
      <c r="AT16" s="25" t="str">
        <f t="shared" si="18"/>
        <v>VALUES (@TagID, 'Play', '5', '3', '-16777216', '0', '0', '0', '-1', '-1', '0')</v>
      </c>
      <c r="AU16" s="25" t="str">
        <f t="shared" si="19"/>
        <v>INSERT INTO DC_ReaderDisplayProperties ([Tag],[Text],[X],[Y],[FontColor],[DisplayID],[ObjectID],[FontSize],[Width],[Height],[BackColor])</v>
      </c>
      <c r="AV16" s="25" t="str">
        <f t="shared" si="20"/>
        <v>VALUES (@TagID, '$0.00', '5', '104', '-16777216', '0', '1', '0', '-1', '-1', '0')</v>
      </c>
      <c r="AW16" s="25" t="str">
        <f t="shared" si="21"/>
        <v>INSERT INTO DC_ReaderDisplayProperties ([Tag],[Text],[X],[Y],[FontColor],[DisplayID],[ObjectID],[FontSize],[Width],[Height],[BackColor])</v>
      </c>
      <c r="AX16" s="25" t="str">
        <f t="shared" si="22"/>
        <v>VALUES (@TagID, 'Token', '208', '16', '-16777216', '0', '16', '0', '-1', '-1', '0')</v>
      </c>
      <c r="AY16" s="25" t="str">
        <f t="shared" si="23"/>
        <v>INSERT INTO DC_ReaderDisplayProperties ([Tag],[Text],[X],[Y],[FontColor],[DisplayID],[ObjectID],[FontSize],[Width],[Height],[BackColor])</v>
      </c>
      <c r="AZ16" s="25" t="str">
        <f t="shared" si="24"/>
        <v>VALUES (@TagID, '000000', '232', '56', '-16777216', '0', '17', '0', '-1', '-1', '0')</v>
      </c>
      <c r="BA16" s="25" t="str">
        <f t="shared" si="25"/>
        <v>INSERT INTO DC_ReaderDisplayProperties ([Tag],[Text],[X],[Y],[FontColor],[DisplayID],[ObjectID],[FontSize],[Width],[Height],[BackColor])</v>
      </c>
      <c r="BB16" s="25" t="str">
        <f t="shared" si="26"/>
        <v>VALUES (@TagID, 'Status Message', '8', '200', '-16777216', '0', '18', '0', '-1', '-1', '0')</v>
      </c>
      <c r="BC16" s="25" t="str">
        <f t="shared" si="27"/>
        <v>INSERT INTO DC_ReaderDisplayProperties ([Tag],[Text],[X],[Y],[FontColor],[DisplayID],[ObjectID],[FontSize],[Width],[Height],[BackColor])</v>
      </c>
      <c r="BD16" s="25" t="str">
        <f t="shared" si="28"/>
        <v>VALUES (@TagID, 'Josh Colby, Vibranium Member', '5', '3', '-16777216', '1', '2', '0', '-1', '-1', '0')</v>
      </c>
      <c r="BE16" s="25" t="str">
        <f t="shared" si="29"/>
        <v>INSERT INTO DC_ReaderDisplayProperties ([Tag],[Text],[X],[Y],[FontColor],[DisplayID],[ObjectID],[FontSize],[Width],[Height],[BackColor])</v>
      </c>
      <c r="BF16" s="25" t="str">
        <f t="shared" si="30"/>
        <v>VALUES (@TagID, 'Image', '28', '66', '-16777216', '1', '3', '0', '-1', '-1', '0')</v>
      </c>
      <c r="BG16" s="25" t="str">
        <f t="shared" si="31"/>
        <v>INSERT INTO DC_ReaderDisplayProperties ([Tag],[Text],[X],[Y],[FontColor],[DisplayID],[ObjectID],[FontSize],[Width],[Height],[BackColor])</v>
      </c>
      <c r="BH16" s="25" t="str">
        <f t="shared" si="32"/>
        <v>VALUES (@TagID, 'New Balance', '184', '76', '-16777216', '1', '4', '0', '-1', '-1', '0')</v>
      </c>
      <c r="BI16" s="6" t="str">
        <f t="shared" si="33"/>
        <v>INSERT INTO DC_ReaderDisplayProperties ([Tag],[Text],[X],[Y],[FontColor],[DisplayID],[ObjectID],[FontSize],[Width],[Height],[BackColor])</v>
      </c>
      <c r="BJ16" s="6" t="str">
        <f t="shared" si="34"/>
        <v>VALUES (@TagID, '$9999.00', '214', '134', '-16777216', '1', '5', '0', '-1', '-1', '0')</v>
      </c>
      <c r="BK16" s="6" t="str">
        <f t="shared" si="35"/>
        <v>INSERT INTO DC_ReaderDisplayProperties ([Tag],[Text],[X],[Y],[FontColor],[DisplayID],[ObjectID],[FontSize],[Width],[Height],[BackColor])</v>
      </c>
      <c r="BL16" s="6" t="str">
        <f t="shared" si="36"/>
        <v>VALUES (@TagID, 'Status Message', '16', '200', '-16777216', '1', '19', '0', '-1', '-1', '0')</v>
      </c>
      <c r="BM16" s="6" t="str">
        <f t="shared" si="37"/>
        <v>INSERT INTO DC_ReaderDisplayProperties ([Tag],[Text],[X],[Y],[FontColor],[DisplayID],[ObjectID],[FontSize],[Width],[Height],[BackColor])</v>
      </c>
      <c r="BN16" s="6" t="str">
        <f t="shared" si="38"/>
        <v>VALUES (@TagID, 'Happy Hour', '24', '16', '-16777216', '2', '6', '0', '-1', '-1', '0')</v>
      </c>
      <c r="BO16" s="6" t="str">
        <f t="shared" si="39"/>
        <v>INSERT INTO DC_ReaderDisplayProperties ([Tag],[Text],[X],[Y],[FontColor],[DisplayID],[ObjectID],[FontSize],[Width],[Height],[BackColor])</v>
      </c>
      <c r="BP16" s="6" t="str">
        <f t="shared" si="40"/>
        <v>VALUES (@TagID, '$99.99', '200', '80', '-16777216', '2', '8', '0', '-1', '-1', '0')</v>
      </c>
      <c r="BQ16" s="6" t="str">
        <f t="shared" si="41"/>
        <v>INSERT INTO DC_ReaderDisplayProperties ([Tag],[Text],[X],[Y],[FontColor],[DisplayID],[ObjectID],[FontSize],[Width],[Height],[BackColor])</v>
      </c>
      <c r="BR16" s="6" t="str">
        <f t="shared" si="42"/>
        <v>VALUES (@TagID, 'Status Message', '16', '200', '-16777216', '2', '20', '0', '-1', '-1', '0')</v>
      </c>
      <c r="BS16" s="6" t="str">
        <f t="shared" si="43"/>
        <v>INSERT INTO DC_ReaderDisplayProperties ([Tag],[Text],[X],[Y],[FontColor],[DisplayID],[ObjectID],[FontSize],[Width],[Height],[BackColor])</v>
      </c>
      <c r="BT16" s="6" t="str">
        <f t="shared" si="44"/>
        <v>VALUES (@TagID, '0000', '160', '152', '-16777216', '2', '21', '0', '-1', '-1', '0')</v>
      </c>
      <c r="BU16" s="6" t="str">
        <f t="shared" si="45"/>
        <v>INSERT INTO DC_ReaderDisplayProperties ([Tag],[Text],[X],[Y],[FontColor],[DisplayID],[ObjectID],[FontSize],[Width],[Height],[BackColor])</v>
      </c>
      <c r="BV16" s="6" t="str">
        <f t="shared" si="46"/>
        <v>VALUES (@TagID, 'Token', '24', '152', '-16777216', '2', '22', '0', '-1', '-1', '0')</v>
      </c>
      <c r="BW16" s="6" t="str">
        <f t="shared" si="47"/>
        <v>INSERT INTO DC_ReaderDisplayProperties ([Tag],[Text],[X],[Y],[FontColor],[DisplayID],[ObjectID],[FontSize],[Width],[Height],[BackColor])</v>
      </c>
      <c r="BX16" s="6" t="str">
        <f t="shared" si="48"/>
        <v>VALUES (@TagID, '000000', '54', '78', '-16777216', '3', '13', '2', '-1', '-1', '0')</v>
      </c>
    </row>
    <row r="17" spans="3:76" ht="21">
      <c r="C17" s="25">
        <v>7</v>
      </c>
      <c r="D17" s="50" t="s">
        <v>98</v>
      </c>
      <c r="E17" s="50" t="s">
        <v>103</v>
      </c>
      <c r="F17" s="51" t="s">
        <v>116</v>
      </c>
      <c r="M17" s="25" t="str">
        <f t="shared" si="49"/>
        <v>20</v>
      </c>
      <c r="N17" s="25" t="str">
        <f t="shared" si="50"/>
        <v>12</v>
      </c>
      <c r="O17" s="25" t="str">
        <f t="shared" si="51"/>
        <v>2</v>
      </c>
      <c r="P17" s="25" t="str">
        <f t="shared" si="52"/>
        <v>4</v>
      </c>
      <c r="Q17" s="25" t="str">
        <f t="shared" si="53"/>
        <v>yellow</v>
      </c>
      <c r="R17" s="25" t="str">
        <f t="shared" si="54"/>
        <v>False</v>
      </c>
      <c r="S17" s="25"/>
      <c r="T17" s="25" t="str">
        <f t="shared" si="55"/>
        <v>False</v>
      </c>
      <c r="AA17" s="25" t="str">
        <f t="shared" si="0"/>
        <v>INSERT INTO DC_OnlineDevices ([Description], [MAC_ID], [Device Type], [Location Code])</v>
      </c>
      <c r="AB17" s="25" t="str">
        <f t="shared" si="1"/>
        <v>VALUES ('Gemini Big USA ver', '408432322543', '100', '6');</v>
      </c>
      <c r="AD17" s="25" t="str">
        <f t="shared" si="2"/>
        <v>SET @TagID = SCOPE_IDENTITY();</v>
      </c>
      <c r="AE17" s="25" t="str">
        <f t="shared" si="3"/>
        <v xml:space="preserve">INSERT INTO DC_ArcadeGameDef  ([Tag], [Cash Play Price], [Game Group ID], [Game Sub Group ID], [Asset Tag], [Allow Time Play], [TimeBetweenPlays], [ConsecutivePlays], [PulsePauseWidth], [Device_Interface], [TicketPulseWidth], </v>
      </c>
      <c r="AF17" s="25" t="str">
        <f t="shared" si="4"/>
        <v xml:space="preserve">[ElecronitcTickets], [ActiveButtonCount], [Button1_Value], [Button2_Value], [Button3_Value], [Button1_Pulses], [Button2_Pulses], [Button3_Pulses], [Model], [eclipse_HappyHour], [eclipse_BaseColor], [GlowOption], [CoinPerPulse], </v>
      </c>
      <c r="AG17" s="25" t="str">
        <f t="shared" si="5"/>
        <v>[HopperTimeOut], [CreditCardEnable], [MercyPoints], [SupplementalBackgrounds])</v>
      </c>
      <c r="AH17" s="25" t="str">
        <f t="shared" si="6"/>
        <v>VALUES (@TagID, '2.0000', '20', '12', @TagID, 'False', '10', '3', '100', '2', '3', 'False', '0', '0.0000', '0.0000', '0.0000', '0', '0', '0', '3', '-1', '4', 'True', '1', '100', 'True', '0', 'False');</v>
      </c>
      <c r="AI17" s="25" t="str">
        <f t="shared" si="7"/>
        <v>INSERT INTO DC_ArcadeReaderImages ([Tag], [ID], [Background], [Foreground], [DisplaySettings])</v>
      </c>
      <c r="AJ17" s="25" t="str">
        <f t="shared" si="8"/>
        <v>VALUES (@TagID, '0', '-1', '-1', '1')</v>
      </c>
      <c r="AK17" s="25" t="str">
        <f t="shared" si="9"/>
        <v>INSERT INTO DC_ArcadeReaderImages ([Tag], [ID], [Background], [Foreground], [DisplaySettings])</v>
      </c>
      <c r="AL17" s="25" t="str">
        <f t="shared" si="10"/>
        <v>VALUES (@TagID, '1', '-1', '-1', '1')</v>
      </c>
      <c r="AM17" s="25" t="str">
        <f t="shared" si="11"/>
        <v>INSERT INTO DC_ArcadeReaderImages ([Tag], [ID], [Background], [Foreground], [DisplaySettings])</v>
      </c>
      <c r="AN17" s="25" t="str">
        <f t="shared" si="12"/>
        <v>VALUES (@TagID, '2', '-1', '-1', '1')</v>
      </c>
      <c r="AO17" s="25" t="str">
        <f t="shared" si="13"/>
        <v>INSERT INTO DC_ArcadeReaderImages ([Tag], [ID], [Background], [Foreground], [DisplaySettings])</v>
      </c>
      <c r="AP17" s="25" t="str">
        <f t="shared" si="14"/>
        <v>VALUES (@TagID, '3', '-1', '-1', '1')</v>
      </c>
      <c r="AQ17" s="25" t="str">
        <f t="shared" si="15"/>
        <v>INSERT INTO DC_ArcadeReaderImages ([Tag], [ID], [Background], [Foreground], [DisplaySettings])</v>
      </c>
      <c r="AR17" s="25" t="str">
        <f t="shared" si="16"/>
        <v>VALUES (@TagID, '4', '-1', '-1', '1')</v>
      </c>
      <c r="AS17" s="25" t="str">
        <f t="shared" si="17"/>
        <v>INSERT INTO DC_ReaderDisplayProperties ([Tag],[Text],[X],[Y],[FontColor],[DisplayID],[ObjectID],[FontSize],[Width],[Height],[BackColor])</v>
      </c>
      <c r="AT17" s="25" t="str">
        <f t="shared" si="18"/>
        <v>VALUES (@TagID, 'Play', '5', '3', '-16777216', '0', '0', '0', '-1', '-1', '0')</v>
      </c>
      <c r="AU17" s="25" t="str">
        <f t="shared" si="19"/>
        <v>INSERT INTO DC_ReaderDisplayProperties ([Tag],[Text],[X],[Y],[FontColor],[DisplayID],[ObjectID],[FontSize],[Width],[Height],[BackColor])</v>
      </c>
      <c r="AV17" s="25" t="str">
        <f t="shared" si="20"/>
        <v>VALUES (@TagID, '$0.00', '5', '104', '-16777216', '0', '1', '0', '-1', '-1', '0')</v>
      </c>
      <c r="AW17" s="25" t="str">
        <f t="shared" si="21"/>
        <v>INSERT INTO DC_ReaderDisplayProperties ([Tag],[Text],[X],[Y],[FontColor],[DisplayID],[ObjectID],[FontSize],[Width],[Height],[BackColor])</v>
      </c>
      <c r="AX17" s="25" t="str">
        <f t="shared" si="22"/>
        <v>VALUES (@TagID, 'Token', '208', '16', '-16777216', '0', '16', '0', '-1', '-1', '0')</v>
      </c>
      <c r="AY17" s="25" t="str">
        <f t="shared" si="23"/>
        <v>INSERT INTO DC_ReaderDisplayProperties ([Tag],[Text],[X],[Y],[FontColor],[DisplayID],[ObjectID],[FontSize],[Width],[Height],[BackColor])</v>
      </c>
      <c r="AZ17" s="25" t="str">
        <f t="shared" si="24"/>
        <v>VALUES (@TagID, '000000', '232', '56', '-16777216', '0', '17', '0', '-1', '-1', '0')</v>
      </c>
      <c r="BA17" s="25" t="str">
        <f t="shared" si="25"/>
        <v>INSERT INTO DC_ReaderDisplayProperties ([Tag],[Text],[X],[Y],[FontColor],[DisplayID],[ObjectID],[FontSize],[Width],[Height],[BackColor])</v>
      </c>
      <c r="BB17" s="25" t="str">
        <f t="shared" si="26"/>
        <v>VALUES (@TagID, 'Status Message', '8', '200', '-16777216', '0', '18', '0', '-1', '-1', '0')</v>
      </c>
      <c r="BC17" s="25" t="str">
        <f t="shared" si="27"/>
        <v>INSERT INTO DC_ReaderDisplayProperties ([Tag],[Text],[X],[Y],[FontColor],[DisplayID],[ObjectID],[FontSize],[Width],[Height],[BackColor])</v>
      </c>
      <c r="BD17" s="25" t="str">
        <f t="shared" si="28"/>
        <v>VALUES (@TagID, 'Josh Colby, Vibranium Member', '5', '3', '-16777216', '1', '2', '0', '-1', '-1', '0')</v>
      </c>
      <c r="BE17" s="25" t="str">
        <f t="shared" si="29"/>
        <v>INSERT INTO DC_ReaderDisplayProperties ([Tag],[Text],[X],[Y],[FontColor],[DisplayID],[ObjectID],[FontSize],[Width],[Height],[BackColor])</v>
      </c>
      <c r="BF17" s="25" t="str">
        <f t="shared" si="30"/>
        <v>VALUES (@TagID, 'Image', '28', '66', '-16777216', '1', '3', '0', '-1', '-1', '0')</v>
      </c>
      <c r="BG17" s="25" t="str">
        <f t="shared" si="31"/>
        <v>INSERT INTO DC_ReaderDisplayProperties ([Tag],[Text],[X],[Y],[FontColor],[DisplayID],[ObjectID],[FontSize],[Width],[Height],[BackColor])</v>
      </c>
      <c r="BH17" s="25" t="str">
        <f t="shared" si="32"/>
        <v>VALUES (@TagID, 'New Balance', '184', '76', '-16777216', '1', '4', '0', '-1', '-1', '0')</v>
      </c>
      <c r="BI17" s="6" t="str">
        <f t="shared" si="33"/>
        <v>INSERT INTO DC_ReaderDisplayProperties ([Tag],[Text],[X],[Y],[FontColor],[DisplayID],[ObjectID],[FontSize],[Width],[Height],[BackColor])</v>
      </c>
      <c r="BJ17" s="6" t="str">
        <f t="shared" si="34"/>
        <v>VALUES (@TagID, '$9999.00', '214', '134', '-16777216', '1', '5', '0', '-1', '-1', '0')</v>
      </c>
      <c r="BK17" s="6" t="str">
        <f t="shared" si="35"/>
        <v>INSERT INTO DC_ReaderDisplayProperties ([Tag],[Text],[X],[Y],[FontColor],[DisplayID],[ObjectID],[FontSize],[Width],[Height],[BackColor])</v>
      </c>
      <c r="BL17" s="6" t="str">
        <f t="shared" si="36"/>
        <v>VALUES (@TagID, 'Status Message', '16', '200', '-16777216', '1', '19', '0', '-1', '-1', '0')</v>
      </c>
      <c r="BM17" s="6" t="str">
        <f t="shared" si="37"/>
        <v>INSERT INTO DC_ReaderDisplayProperties ([Tag],[Text],[X],[Y],[FontColor],[DisplayID],[ObjectID],[FontSize],[Width],[Height],[BackColor])</v>
      </c>
      <c r="BN17" s="6" t="str">
        <f t="shared" si="38"/>
        <v>VALUES (@TagID, 'Happy Hour', '24', '16', '-16777216', '2', '6', '0', '-1', '-1', '0')</v>
      </c>
      <c r="BO17" s="6" t="str">
        <f t="shared" si="39"/>
        <v>INSERT INTO DC_ReaderDisplayProperties ([Tag],[Text],[X],[Y],[FontColor],[DisplayID],[ObjectID],[FontSize],[Width],[Height],[BackColor])</v>
      </c>
      <c r="BP17" s="6" t="str">
        <f t="shared" si="40"/>
        <v>VALUES (@TagID, '$99.99', '200', '80', '-16777216', '2', '8', '0', '-1', '-1', '0')</v>
      </c>
      <c r="BQ17" s="6" t="str">
        <f t="shared" si="41"/>
        <v>INSERT INTO DC_ReaderDisplayProperties ([Tag],[Text],[X],[Y],[FontColor],[DisplayID],[ObjectID],[FontSize],[Width],[Height],[BackColor])</v>
      </c>
      <c r="BR17" s="6" t="str">
        <f t="shared" si="42"/>
        <v>VALUES (@TagID, 'Status Message', '16', '200', '-16777216', '2', '20', '0', '-1', '-1', '0')</v>
      </c>
      <c r="BS17" s="6" t="str">
        <f t="shared" si="43"/>
        <v>INSERT INTO DC_ReaderDisplayProperties ([Tag],[Text],[X],[Y],[FontColor],[DisplayID],[ObjectID],[FontSize],[Width],[Height],[BackColor])</v>
      </c>
      <c r="BT17" s="6" t="str">
        <f t="shared" si="44"/>
        <v>VALUES (@TagID, '0000', '160', '152', '-16777216', '2', '21', '0', '-1', '-1', '0')</v>
      </c>
      <c r="BU17" s="6" t="str">
        <f t="shared" si="45"/>
        <v>INSERT INTO DC_ReaderDisplayProperties ([Tag],[Text],[X],[Y],[FontColor],[DisplayID],[ObjectID],[FontSize],[Width],[Height],[BackColor])</v>
      </c>
      <c r="BV17" s="6" t="str">
        <f t="shared" si="46"/>
        <v>VALUES (@TagID, 'Token', '24', '152', '-16777216', '2', '22', '0', '-1', '-1', '0')</v>
      </c>
      <c r="BW17" s="6" t="str">
        <f t="shared" si="47"/>
        <v>INSERT INTO DC_ReaderDisplayProperties ([Tag],[Text],[X],[Y],[FontColor],[DisplayID],[ObjectID],[FontSize],[Width],[Height],[BackColor])</v>
      </c>
      <c r="BX17" s="6" t="str">
        <f t="shared" si="48"/>
        <v>VALUES (@TagID, '000000', '54', '78', '-16777216', '3', '13', '2', '-1', '-1', '0')</v>
      </c>
    </row>
    <row r="18" spans="3:76" ht="21">
      <c r="C18" s="25">
        <v>8</v>
      </c>
      <c r="D18" s="50" t="s">
        <v>98</v>
      </c>
      <c r="E18" s="50" t="s">
        <v>104</v>
      </c>
      <c r="F18" s="51" t="s">
        <v>116</v>
      </c>
      <c r="M18" s="25" t="str">
        <f t="shared" si="49"/>
        <v>20</v>
      </c>
      <c r="N18" s="25" t="str">
        <f t="shared" si="50"/>
        <v>12</v>
      </c>
      <c r="O18" s="25" t="str">
        <f t="shared" si="51"/>
        <v>2</v>
      </c>
      <c r="P18" s="25" t="str">
        <f t="shared" si="52"/>
        <v>4</v>
      </c>
      <c r="Q18" s="25" t="str">
        <f t="shared" si="53"/>
        <v>yellow</v>
      </c>
      <c r="R18" s="25" t="str">
        <f t="shared" si="54"/>
        <v>False</v>
      </c>
      <c r="S18" s="25"/>
      <c r="T18" s="25" t="str">
        <f t="shared" si="55"/>
        <v>False</v>
      </c>
      <c r="AA18" s="25" t="str">
        <f t="shared" si="0"/>
        <v>INSERT INTO DC_OnlineDevices ([Description], [MAC_ID], [Device Type], [Location Code])</v>
      </c>
      <c r="AB18" s="25" t="str">
        <f t="shared" si="1"/>
        <v>VALUES ('Gemini Big USA ver', '408432322310', '100', '6');</v>
      </c>
      <c r="AD18" s="25" t="str">
        <f t="shared" si="2"/>
        <v>SET @TagID = SCOPE_IDENTITY();</v>
      </c>
      <c r="AE18" s="25" t="str">
        <f t="shared" si="3"/>
        <v xml:space="preserve">INSERT INTO DC_ArcadeGameDef  ([Tag], [Cash Play Price], [Game Group ID], [Game Sub Group ID], [Asset Tag], [Allow Time Play], [TimeBetweenPlays], [ConsecutivePlays], [PulsePauseWidth], [Device_Interface], [TicketPulseWidth], </v>
      </c>
      <c r="AF18" s="25" t="str">
        <f t="shared" si="4"/>
        <v xml:space="preserve">[ElecronitcTickets], [ActiveButtonCount], [Button1_Value], [Button2_Value], [Button3_Value], [Button1_Pulses], [Button2_Pulses], [Button3_Pulses], [Model], [eclipse_HappyHour], [eclipse_BaseColor], [GlowOption], [CoinPerPulse], </v>
      </c>
      <c r="AG18" s="25" t="str">
        <f t="shared" si="5"/>
        <v>[HopperTimeOut], [CreditCardEnable], [MercyPoints], [SupplementalBackgrounds])</v>
      </c>
      <c r="AH18" s="25" t="str">
        <f t="shared" si="6"/>
        <v>VALUES (@TagID, '2.0000', '20', '12', @TagID, 'False', '10', '3', '100', '2', '3', 'False', '0', '0.0000', '0.0000', '0.0000', '0', '0', '0', '3', '-1', '4', 'True', '1', '100', 'True', '0', 'False');</v>
      </c>
      <c r="AI18" s="25" t="str">
        <f t="shared" si="7"/>
        <v>INSERT INTO DC_ArcadeReaderImages ([Tag], [ID], [Background], [Foreground], [DisplaySettings])</v>
      </c>
      <c r="AJ18" s="25" t="str">
        <f t="shared" si="8"/>
        <v>VALUES (@TagID, '0', '-1', '-1', '1')</v>
      </c>
      <c r="AK18" s="25" t="str">
        <f t="shared" si="9"/>
        <v>INSERT INTO DC_ArcadeReaderImages ([Tag], [ID], [Background], [Foreground], [DisplaySettings])</v>
      </c>
      <c r="AL18" s="25" t="str">
        <f t="shared" si="10"/>
        <v>VALUES (@TagID, '1', '-1', '-1', '1')</v>
      </c>
      <c r="AM18" s="25" t="str">
        <f t="shared" si="11"/>
        <v>INSERT INTO DC_ArcadeReaderImages ([Tag], [ID], [Background], [Foreground], [DisplaySettings])</v>
      </c>
      <c r="AN18" s="25" t="str">
        <f t="shared" si="12"/>
        <v>VALUES (@TagID, '2', '-1', '-1', '1')</v>
      </c>
      <c r="AO18" s="25" t="str">
        <f t="shared" si="13"/>
        <v>INSERT INTO DC_ArcadeReaderImages ([Tag], [ID], [Background], [Foreground], [DisplaySettings])</v>
      </c>
      <c r="AP18" s="25" t="str">
        <f t="shared" si="14"/>
        <v>VALUES (@TagID, '3', '-1', '-1', '1')</v>
      </c>
      <c r="AQ18" s="25" t="str">
        <f t="shared" si="15"/>
        <v>INSERT INTO DC_ArcadeReaderImages ([Tag], [ID], [Background], [Foreground], [DisplaySettings])</v>
      </c>
      <c r="AR18" s="25" t="str">
        <f t="shared" si="16"/>
        <v>VALUES (@TagID, '4', '-1', '-1', '1')</v>
      </c>
      <c r="AS18" s="25" t="str">
        <f t="shared" si="17"/>
        <v>INSERT INTO DC_ReaderDisplayProperties ([Tag],[Text],[X],[Y],[FontColor],[DisplayID],[ObjectID],[FontSize],[Width],[Height],[BackColor])</v>
      </c>
      <c r="AT18" s="25" t="str">
        <f t="shared" si="18"/>
        <v>VALUES (@TagID, 'Play', '5', '3', '-16777216', '0', '0', '0', '-1', '-1', '0')</v>
      </c>
      <c r="AU18" s="25" t="str">
        <f t="shared" si="19"/>
        <v>INSERT INTO DC_ReaderDisplayProperties ([Tag],[Text],[X],[Y],[FontColor],[DisplayID],[ObjectID],[FontSize],[Width],[Height],[BackColor])</v>
      </c>
      <c r="AV18" s="25" t="str">
        <f t="shared" si="20"/>
        <v>VALUES (@TagID, '$0.00', '5', '104', '-16777216', '0', '1', '0', '-1', '-1', '0')</v>
      </c>
      <c r="AW18" s="25" t="str">
        <f t="shared" si="21"/>
        <v>INSERT INTO DC_ReaderDisplayProperties ([Tag],[Text],[X],[Y],[FontColor],[DisplayID],[ObjectID],[FontSize],[Width],[Height],[BackColor])</v>
      </c>
      <c r="AX18" s="25" t="str">
        <f t="shared" si="22"/>
        <v>VALUES (@TagID, 'Token', '208', '16', '-16777216', '0', '16', '0', '-1', '-1', '0')</v>
      </c>
      <c r="AY18" s="25" t="str">
        <f t="shared" si="23"/>
        <v>INSERT INTO DC_ReaderDisplayProperties ([Tag],[Text],[X],[Y],[FontColor],[DisplayID],[ObjectID],[FontSize],[Width],[Height],[BackColor])</v>
      </c>
      <c r="AZ18" s="25" t="str">
        <f t="shared" si="24"/>
        <v>VALUES (@TagID, '000000', '232', '56', '-16777216', '0', '17', '0', '-1', '-1', '0')</v>
      </c>
      <c r="BA18" s="25" t="str">
        <f t="shared" si="25"/>
        <v>INSERT INTO DC_ReaderDisplayProperties ([Tag],[Text],[X],[Y],[FontColor],[DisplayID],[ObjectID],[FontSize],[Width],[Height],[BackColor])</v>
      </c>
      <c r="BB18" s="25" t="str">
        <f t="shared" si="26"/>
        <v>VALUES (@TagID, 'Status Message', '8', '200', '-16777216', '0', '18', '0', '-1', '-1', '0')</v>
      </c>
      <c r="BC18" s="25" t="str">
        <f t="shared" si="27"/>
        <v>INSERT INTO DC_ReaderDisplayProperties ([Tag],[Text],[X],[Y],[FontColor],[DisplayID],[ObjectID],[FontSize],[Width],[Height],[BackColor])</v>
      </c>
      <c r="BD18" s="25" t="str">
        <f t="shared" si="28"/>
        <v>VALUES (@TagID, 'Josh Colby, Vibranium Member', '5', '3', '-16777216', '1', '2', '0', '-1', '-1', '0')</v>
      </c>
      <c r="BE18" s="25" t="str">
        <f t="shared" si="29"/>
        <v>INSERT INTO DC_ReaderDisplayProperties ([Tag],[Text],[X],[Y],[FontColor],[DisplayID],[ObjectID],[FontSize],[Width],[Height],[BackColor])</v>
      </c>
      <c r="BF18" s="25" t="str">
        <f t="shared" si="30"/>
        <v>VALUES (@TagID, 'Image', '28', '66', '-16777216', '1', '3', '0', '-1', '-1', '0')</v>
      </c>
      <c r="BG18" s="25" t="str">
        <f t="shared" si="31"/>
        <v>INSERT INTO DC_ReaderDisplayProperties ([Tag],[Text],[X],[Y],[FontColor],[DisplayID],[ObjectID],[FontSize],[Width],[Height],[BackColor])</v>
      </c>
      <c r="BH18" s="25" t="str">
        <f t="shared" si="32"/>
        <v>VALUES (@TagID, 'New Balance', '184', '76', '-16777216', '1', '4', '0', '-1', '-1', '0')</v>
      </c>
      <c r="BI18" s="6" t="str">
        <f t="shared" si="33"/>
        <v>INSERT INTO DC_ReaderDisplayProperties ([Tag],[Text],[X],[Y],[FontColor],[DisplayID],[ObjectID],[FontSize],[Width],[Height],[BackColor])</v>
      </c>
      <c r="BJ18" s="6" t="str">
        <f t="shared" si="34"/>
        <v>VALUES (@TagID, '$9999.00', '214', '134', '-16777216', '1', '5', '0', '-1', '-1', '0')</v>
      </c>
      <c r="BK18" s="6" t="str">
        <f t="shared" si="35"/>
        <v>INSERT INTO DC_ReaderDisplayProperties ([Tag],[Text],[X],[Y],[FontColor],[DisplayID],[ObjectID],[FontSize],[Width],[Height],[BackColor])</v>
      </c>
      <c r="BL18" s="6" t="str">
        <f t="shared" si="36"/>
        <v>VALUES (@TagID, 'Status Message', '16', '200', '-16777216', '1', '19', '0', '-1', '-1', '0')</v>
      </c>
      <c r="BM18" s="6" t="str">
        <f t="shared" si="37"/>
        <v>INSERT INTO DC_ReaderDisplayProperties ([Tag],[Text],[X],[Y],[FontColor],[DisplayID],[ObjectID],[FontSize],[Width],[Height],[BackColor])</v>
      </c>
      <c r="BN18" s="6" t="str">
        <f t="shared" si="38"/>
        <v>VALUES (@TagID, 'Happy Hour', '24', '16', '-16777216', '2', '6', '0', '-1', '-1', '0')</v>
      </c>
      <c r="BO18" s="6" t="str">
        <f t="shared" si="39"/>
        <v>INSERT INTO DC_ReaderDisplayProperties ([Tag],[Text],[X],[Y],[FontColor],[DisplayID],[ObjectID],[FontSize],[Width],[Height],[BackColor])</v>
      </c>
      <c r="BP18" s="6" t="str">
        <f t="shared" si="40"/>
        <v>VALUES (@TagID, '$99.99', '200', '80', '-16777216', '2', '8', '0', '-1', '-1', '0')</v>
      </c>
      <c r="BQ18" s="6" t="str">
        <f t="shared" si="41"/>
        <v>INSERT INTO DC_ReaderDisplayProperties ([Tag],[Text],[X],[Y],[FontColor],[DisplayID],[ObjectID],[FontSize],[Width],[Height],[BackColor])</v>
      </c>
      <c r="BR18" s="6" t="str">
        <f t="shared" si="42"/>
        <v>VALUES (@TagID, 'Status Message', '16', '200', '-16777216', '2', '20', '0', '-1', '-1', '0')</v>
      </c>
      <c r="BS18" s="6" t="str">
        <f t="shared" si="43"/>
        <v>INSERT INTO DC_ReaderDisplayProperties ([Tag],[Text],[X],[Y],[FontColor],[DisplayID],[ObjectID],[FontSize],[Width],[Height],[BackColor])</v>
      </c>
      <c r="BT18" s="6" t="str">
        <f t="shared" si="44"/>
        <v>VALUES (@TagID, '0000', '160', '152', '-16777216', '2', '21', '0', '-1', '-1', '0')</v>
      </c>
      <c r="BU18" s="6" t="str">
        <f t="shared" si="45"/>
        <v>INSERT INTO DC_ReaderDisplayProperties ([Tag],[Text],[X],[Y],[FontColor],[DisplayID],[ObjectID],[FontSize],[Width],[Height],[BackColor])</v>
      </c>
      <c r="BV18" s="6" t="str">
        <f t="shared" si="46"/>
        <v>VALUES (@TagID, 'Token', '24', '152', '-16777216', '2', '22', '0', '-1', '-1', '0')</v>
      </c>
      <c r="BW18" s="6" t="str">
        <f t="shared" si="47"/>
        <v>INSERT INTO DC_ReaderDisplayProperties ([Tag],[Text],[X],[Y],[FontColor],[DisplayID],[ObjectID],[FontSize],[Width],[Height],[BackColor])</v>
      </c>
      <c r="BX18" s="6" t="str">
        <f t="shared" si="48"/>
        <v>VALUES (@TagID, '000000', '54', '78', '-16777216', '3', '13', '2', '-1', '-1', '0')</v>
      </c>
    </row>
    <row r="19" spans="3:76" ht="21">
      <c r="C19" s="25">
        <v>9</v>
      </c>
      <c r="D19" s="50" t="s">
        <v>98</v>
      </c>
      <c r="E19" s="50" t="s">
        <v>105</v>
      </c>
      <c r="F19" s="51" t="s">
        <v>116</v>
      </c>
      <c r="M19" s="25" t="str">
        <f t="shared" si="49"/>
        <v>20</v>
      </c>
      <c r="N19" s="25" t="str">
        <f t="shared" si="50"/>
        <v>12</v>
      </c>
      <c r="O19" s="25" t="str">
        <f t="shared" si="51"/>
        <v>2</v>
      </c>
      <c r="P19" s="25" t="str">
        <f t="shared" si="52"/>
        <v>4</v>
      </c>
      <c r="Q19" s="25" t="str">
        <f t="shared" si="53"/>
        <v>yellow</v>
      </c>
      <c r="R19" s="25" t="str">
        <f t="shared" si="54"/>
        <v>False</v>
      </c>
      <c r="S19" s="25"/>
      <c r="T19" s="25" t="str">
        <f t="shared" si="55"/>
        <v>False</v>
      </c>
      <c r="AA19" s="25" t="str">
        <f t="shared" si="0"/>
        <v>INSERT INTO DC_OnlineDevices ([Description], [MAC_ID], [Device Type], [Location Code])</v>
      </c>
      <c r="AB19" s="25" t="str">
        <f t="shared" si="1"/>
        <v>VALUES ('Gemini Big USA ver', '408432322491', '100', '6');</v>
      </c>
      <c r="AD19" s="25" t="str">
        <f t="shared" si="2"/>
        <v>SET @TagID = SCOPE_IDENTITY();</v>
      </c>
      <c r="AE19" s="25" t="str">
        <f t="shared" si="3"/>
        <v xml:space="preserve">INSERT INTO DC_ArcadeGameDef  ([Tag], [Cash Play Price], [Game Group ID], [Game Sub Group ID], [Asset Tag], [Allow Time Play], [TimeBetweenPlays], [ConsecutivePlays], [PulsePauseWidth], [Device_Interface], [TicketPulseWidth], </v>
      </c>
      <c r="AF19" s="25" t="str">
        <f t="shared" si="4"/>
        <v xml:space="preserve">[ElecronitcTickets], [ActiveButtonCount], [Button1_Value], [Button2_Value], [Button3_Value], [Button1_Pulses], [Button2_Pulses], [Button3_Pulses], [Model], [eclipse_HappyHour], [eclipse_BaseColor], [GlowOption], [CoinPerPulse], </v>
      </c>
      <c r="AG19" s="25" t="str">
        <f t="shared" si="5"/>
        <v>[HopperTimeOut], [CreditCardEnable], [MercyPoints], [SupplementalBackgrounds])</v>
      </c>
      <c r="AH19" s="25" t="str">
        <f t="shared" si="6"/>
        <v>VALUES (@TagID, '2.0000', '20', '12', @TagID, 'False', '10', '3', '100', '2', '3', 'False', '0', '0.0000', '0.0000', '0.0000', '0', '0', '0', '3', '-1', '4', 'True', '1', '100', 'True', '0', 'False');</v>
      </c>
      <c r="AI19" s="25" t="str">
        <f t="shared" si="7"/>
        <v>INSERT INTO DC_ArcadeReaderImages ([Tag], [ID], [Background], [Foreground], [DisplaySettings])</v>
      </c>
      <c r="AJ19" s="25" t="str">
        <f t="shared" si="8"/>
        <v>VALUES (@TagID, '0', '-1', '-1', '1')</v>
      </c>
      <c r="AK19" s="25" t="str">
        <f t="shared" si="9"/>
        <v>INSERT INTO DC_ArcadeReaderImages ([Tag], [ID], [Background], [Foreground], [DisplaySettings])</v>
      </c>
      <c r="AL19" s="25" t="str">
        <f t="shared" si="10"/>
        <v>VALUES (@TagID, '1', '-1', '-1', '1')</v>
      </c>
      <c r="AM19" s="25" t="str">
        <f t="shared" si="11"/>
        <v>INSERT INTO DC_ArcadeReaderImages ([Tag], [ID], [Background], [Foreground], [DisplaySettings])</v>
      </c>
      <c r="AN19" s="25" t="str">
        <f t="shared" si="12"/>
        <v>VALUES (@TagID, '2', '-1', '-1', '1')</v>
      </c>
      <c r="AO19" s="25" t="str">
        <f t="shared" si="13"/>
        <v>INSERT INTO DC_ArcadeReaderImages ([Tag], [ID], [Background], [Foreground], [DisplaySettings])</v>
      </c>
      <c r="AP19" s="25" t="str">
        <f t="shared" si="14"/>
        <v>VALUES (@TagID, '3', '-1', '-1', '1')</v>
      </c>
      <c r="AQ19" s="25" t="str">
        <f t="shared" si="15"/>
        <v>INSERT INTO DC_ArcadeReaderImages ([Tag], [ID], [Background], [Foreground], [DisplaySettings])</v>
      </c>
      <c r="AR19" s="25" t="str">
        <f t="shared" si="16"/>
        <v>VALUES (@TagID, '4', '-1', '-1', '1')</v>
      </c>
      <c r="AS19" s="25" t="str">
        <f t="shared" si="17"/>
        <v>INSERT INTO DC_ReaderDisplayProperties ([Tag],[Text],[X],[Y],[FontColor],[DisplayID],[ObjectID],[FontSize],[Width],[Height],[BackColor])</v>
      </c>
      <c r="AT19" s="25" t="str">
        <f t="shared" si="18"/>
        <v>VALUES (@TagID, 'Play', '5', '3', '-16777216', '0', '0', '0', '-1', '-1', '0')</v>
      </c>
      <c r="AU19" s="25" t="str">
        <f t="shared" si="19"/>
        <v>INSERT INTO DC_ReaderDisplayProperties ([Tag],[Text],[X],[Y],[FontColor],[DisplayID],[ObjectID],[FontSize],[Width],[Height],[BackColor])</v>
      </c>
      <c r="AV19" s="25" t="str">
        <f t="shared" si="20"/>
        <v>VALUES (@TagID, '$0.00', '5', '104', '-16777216', '0', '1', '0', '-1', '-1', '0')</v>
      </c>
      <c r="AW19" s="25" t="str">
        <f t="shared" si="21"/>
        <v>INSERT INTO DC_ReaderDisplayProperties ([Tag],[Text],[X],[Y],[FontColor],[DisplayID],[ObjectID],[FontSize],[Width],[Height],[BackColor])</v>
      </c>
      <c r="AX19" s="25" t="str">
        <f t="shared" si="22"/>
        <v>VALUES (@TagID, 'Token', '208', '16', '-16777216', '0', '16', '0', '-1', '-1', '0')</v>
      </c>
      <c r="AY19" s="25" t="str">
        <f t="shared" si="23"/>
        <v>INSERT INTO DC_ReaderDisplayProperties ([Tag],[Text],[X],[Y],[FontColor],[DisplayID],[ObjectID],[FontSize],[Width],[Height],[BackColor])</v>
      </c>
      <c r="AZ19" s="25" t="str">
        <f t="shared" si="24"/>
        <v>VALUES (@TagID, '000000', '232', '56', '-16777216', '0', '17', '0', '-1', '-1', '0')</v>
      </c>
      <c r="BA19" s="25" t="str">
        <f t="shared" si="25"/>
        <v>INSERT INTO DC_ReaderDisplayProperties ([Tag],[Text],[X],[Y],[FontColor],[DisplayID],[ObjectID],[FontSize],[Width],[Height],[BackColor])</v>
      </c>
      <c r="BB19" s="25" t="str">
        <f t="shared" si="26"/>
        <v>VALUES (@TagID, 'Status Message', '8', '200', '-16777216', '0', '18', '0', '-1', '-1', '0')</v>
      </c>
      <c r="BC19" s="25" t="str">
        <f t="shared" si="27"/>
        <v>INSERT INTO DC_ReaderDisplayProperties ([Tag],[Text],[X],[Y],[FontColor],[DisplayID],[ObjectID],[FontSize],[Width],[Height],[BackColor])</v>
      </c>
      <c r="BD19" s="25" t="str">
        <f t="shared" si="28"/>
        <v>VALUES (@TagID, 'Josh Colby, Vibranium Member', '5', '3', '-16777216', '1', '2', '0', '-1', '-1', '0')</v>
      </c>
      <c r="BE19" s="25" t="str">
        <f t="shared" si="29"/>
        <v>INSERT INTO DC_ReaderDisplayProperties ([Tag],[Text],[X],[Y],[FontColor],[DisplayID],[ObjectID],[FontSize],[Width],[Height],[BackColor])</v>
      </c>
      <c r="BF19" s="25" t="str">
        <f t="shared" si="30"/>
        <v>VALUES (@TagID, 'Image', '28', '66', '-16777216', '1', '3', '0', '-1', '-1', '0')</v>
      </c>
      <c r="BG19" s="25" t="str">
        <f t="shared" si="31"/>
        <v>INSERT INTO DC_ReaderDisplayProperties ([Tag],[Text],[X],[Y],[FontColor],[DisplayID],[ObjectID],[FontSize],[Width],[Height],[BackColor])</v>
      </c>
      <c r="BH19" s="25" t="str">
        <f t="shared" si="32"/>
        <v>VALUES (@TagID, 'New Balance', '184', '76', '-16777216', '1', '4', '0', '-1', '-1', '0')</v>
      </c>
      <c r="BI19" s="6" t="str">
        <f t="shared" si="33"/>
        <v>INSERT INTO DC_ReaderDisplayProperties ([Tag],[Text],[X],[Y],[FontColor],[DisplayID],[ObjectID],[FontSize],[Width],[Height],[BackColor])</v>
      </c>
      <c r="BJ19" s="6" t="str">
        <f t="shared" si="34"/>
        <v>VALUES (@TagID, '$9999.00', '214', '134', '-16777216', '1', '5', '0', '-1', '-1', '0')</v>
      </c>
      <c r="BK19" s="6" t="str">
        <f t="shared" si="35"/>
        <v>INSERT INTO DC_ReaderDisplayProperties ([Tag],[Text],[X],[Y],[FontColor],[DisplayID],[ObjectID],[FontSize],[Width],[Height],[BackColor])</v>
      </c>
      <c r="BL19" s="6" t="str">
        <f t="shared" si="36"/>
        <v>VALUES (@TagID, 'Status Message', '16', '200', '-16777216', '1', '19', '0', '-1', '-1', '0')</v>
      </c>
      <c r="BM19" s="6" t="str">
        <f t="shared" si="37"/>
        <v>INSERT INTO DC_ReaderDisplayProperties ([Tag],[Text],[X],[Y],[FontColor],[DisplayID],[ObjectID],[FontSize],[Width],[Height],[BackColor])</v>
      </c>
      <c r="BN19" s="6" t="str">
        <f t="shared" si="38"/>
        <v>VALUES (@TagID, 'Happy Hour', '24', '16', '-16777216', '2', '6', '0', '-1', '-1', '0')</v>
      </c>
      <c r="BO19" s="6" t="str">
        <f t="shared" si="39"/>
        <v>INSERT INTO DC_ReaderDisplayProperties ([Tag],[Text],[X],[Y],[FontColor],[DisplayID],[ObjectID],[FontSize],[Width],[Height],[BackColor])</v>
      </c>
      <c r="BP19" s="6" t="str">
        <f t="shared" si="40"/>
        <v>VALUES (@TagID, '$99.99', '200', '80', '-16777216', '2', '8', '0', '-1', '-1', '0')</v>
      </c>
      <c r="BQ19" s="6" t="str">
        <f t="shared" si="41"/>
        <v>INSERT INTO DC_ReaderDisplayProperties ([Tag],[Text],[X],[Y],[FontColor],[DisplayID],[ObjectID],[FontSize],[Width],[Height],[BackColor])</v>
      </c>
      <c r="BR19" s="6" t="str">
        <f t="shared" si="42"/>
        <v>VALUES (@TagID, 'Status Message', '16', '200', '-16777216', '2', '20', '0', '-1', '-1', '0')</v>
      </c>
      <c r="BS19" s="6" t="str">
        <f t="shared" si="43"/>
        <v>INSERT INTO DC_ReaderDisplayProperties ([Tag],[Text],[X],[Y],[FontColor],[DisplayID],[ObjectID],[FontSize],[Width],[Height],[BackColor])</v>
      </c>
      <c r="BT19" s="6" t="str">
        <f t="shared" si="44"/>
        <v>VALUES (@TagID, '0000', '160', '152', '-16777216', '2', '21', '0', '-1', '-1', '0')</v>
      </c>
      <c r="BU19" s="6" t="str">
        <f t="shared" si="45"/>
        <v>INSERT INTO DC_ReaderDisplayProperties ([Tag],[Text],[X],[Y],[FontColor],[DisplayID],[ObjectID],[FontSize],[Width],[Height],[BackColor])</v>
      </c>
      <c r="BV19" s="6" t="str">
        <f t="shared" si="46"/>
        <v>VALUES (@TagID, 'Token', '24', '152', '-16777216', '2', '22', '0', '-1', '-1', '0')</v>
      </c>
      <c r="BW19" s="6" t="str">
        <f t="shared" si="47"/>
        <v>INSERT INTO DC_ReaderDisplayProperties ([Tag],[Text],[X],[Y],[FontColor],[DisplayID],[ObjectID],[FontSize],[Width],[Height],[BackColor])</v>
      </c>
      <c r="BX19" s="6" t="str">
        <f t="shared" si="48"/>
        <v>VALUES (@TagID, '000000', '54', '78', '-16777216', '3', '13', '2', '-1', '-1', '0')</v>
      </c>
    </row>
    <row r="20" spans="3:76" ht="21">
      <c r="C20" s="25">
        <v>10</v>
      </c>
      <c r="D20" s="50" t="s">
        <v>98</v>
      </c>
      <c r="E20" s="50" t="s">
        <v>106</v>
      </c>
      <c r="F20" s="51" t="s">
        <v>116</v>
      </c>
      <c r="M20" s="25" t="str">
        <f t="shared" si="49"/>
        <v>20</v>
      </c>
      <c r="N20" s="25" t="str">
        <f t="shared" si="50"/>
        <v>12</v>
      </c>
      <c r="O20" s="25" t="str">
        <f t="shared" si="51"/>
        <v>2</v>
      </c>
      <c r="P20" s="25" t="str">
        <f t="shared" si="52"/>
        <v>4</v>
      </c>
      <c r="Q20" s="25" t="str">
        <f t="shared" si="53"/>
        <v>yellow</v>
      </c>
      <c r="R20" s="25" t="str">
        <f t="shared" si="54"/>
        <v>False</v>
      </c>
      <c r="S20" s="25"/>
      <c r="T20" s="25" t="str">
        <f t="shared" si="55"/>
        <v>False</v>
      </c>
      <c r="AA20" s="25" t="str">
        <f t="shared" si="0"/>
        <v>INSERT INTO DC_OnlineDevices ([Description], [MAC_ID], [Device Type], [Location Code])</v>
      </c>
      <c r="AB20" s="25" t="str">
        <f t="shared" si="1"/>
        <v>VALUES ('Gemini Big USA ver', '40843232237E', '100', '6');</v>
      </c>
      <c r="AD20" s="25" t="str">
        <f t="shared" si="2"/>
        <v>SET @TagID = SCOPE_IDENTITY();</v>
      </c>
      <c r="AE20" s="25" t="str">
        <f t="shared" si="3"/>
        <v xml:space="preserve">INSERT INTO DC_ArcadeGameDef  ([Tag], [Cash Play Price], [Game Group ID], [Game Sub Group ID], [Asset Tag], [Allow Time Play], [TimeBetweenPlays], [ConsecutivePlays], [PulsePauseWidth], [Device_Interface], [TicketPulseWidth], </v>
      </c>
      <c r="AF20" s="25" t="str">
        <f t="shared" si="4"/>
        <v xml:space="preserve">[ElecronitcTickets], [ActiveButtonCount], [Button1_Value], [Button2_Value], [Button3_Value], [Button1_Pulses], [Button2_Pulses], [Button3_Pulses], [Model], [eclipse_HappyHour], [eclipse_BaseColor], [GlowOption], [CoinPerPulse], </v>
      </c>
      <c r="AG20" s="25" t="str">
        <f t="shared" si="5"/>
        <v>[HopperTimeOut], [CreditCardEnable], [MercyPoints], [SupplementalBackgrounds])</v>
      </c>
      <c r="AH20" s="25" t="str">
        <f t="shared" si="6"/>
        <v>VALUES (@TagID, '2.0000', '20', '12', @TagID, 'False', '10', '3', '100', '2', '3', 'False', '0', '0.0000', '0.0000', '0.0000', '0', '0', '0', '3', '-1', '4', 'True', '1', '100', 'True', '0', 'False');</v>
      </c>
      <c r="AI20" s="25" t="str">
        <f t="shared" si="7"/>
        <v>INSERT INTO DC_ArcadeReaderImages ([Tag], [ID], [Background], [Foreground], [DisplaySettings])</v>
      </c>
      <c r="AJ20" s="25" t="str">
        <f t="shared" si="8"/>
        <v>VALUES (@TagID, '0', '-1', '-1', '1')</v>
      </c>
      <c r="AK20" s="25" t="str">
        <f t="shared" si="9"/>
        <v>INSERT INTO DC_ArcadeReaderImages ([Tag], [ID], [Background], [Foreground], [DisplaySettings])</v>
      </c>
      <c r="AL20" s="25" t="str">
        <f t="shared" si="10"/>
        <v>VALUES (@TagID, '1', '-1', '-1', '1')</v>
      </c>
      <c r="AM20" s="25" t="str">
        <f t="shared" si="11"/>
        <v>INSERT INTO DC_ArcadeReaderImages ([Tag], [ID], [Background], [Foreground], [DisplaySettings])</v>
      </c>
      <c r="AN20" s="25" t="str">
        <f t="shared" si="12"/>
        <v>VALUES (@TagID, '2', '-1', '-1', '1')</v>
      </c>
      <c r="AO20" s="25" t="str">
        <f t="shared" si="13"/>
        <v>INSERT INTO DC_ArcadeReaderImages ([Tag], [ID], [Background], [Foreground], [DisplaySettings])</v>
      </c>
      <c r="AP20" s="25" t="str">
        <f t="shared" si="14"/>
        <v>VALUES (@TagID, '3', '-1', '-1', '1')</v>
      </c>
      <c r="AQ20" s="25" t="str">
        <f t="shared" si="15"/>
        <v>INSERT INTO DC_ArcadeReaderImages ([Tag], [ID], [Background], [Foreground], [DisplaySettings])</v>
      </c>
      <c r="AR20" s="25" t="str">
        <f t="shared" si="16"/>
        <v>VALUES (@TagID, '4', '-1', '-1', '1')</v>
      </c>
      <c r="AS20" s="25" t="str">
        <f t="shared" si="17"/>
        <v>INSERT INTO DC_ReaderDisplayProperties ([Tag],[Text],[X],[Y],[FontColor],[DisplayID],[ObjectID],[FontSize],[Width],[Height],[BackColor])</v>
      </c>
      <c r="AT20" s="25" t="str">
        <f t="shared" si="18"/>
        <v>VALUES (@TagID, 'Play', '5', '3', '-16777216', '0', '0', '0', '-1', '-1', '0')</v>
      </c>
      <c r="AU20" s="25" t="str">
        <f t="shared" si="19"/>
        <v>INSERT INTO DC_ReaderDisplayProperties ([Tag],[Text],[X],[Y],[FontColor],[DisplayID],[ObjectID],[FontSize],[Width],[Height],[BackColor])</v>
      </c>
      <c r="AV20" s="25" t="str">
        <f t="shared" si="20"/>
        <v>VALUES (@TagID, '$0.00', '5', '104', '-16777216', '0', '1', '0', '-1', '-1', '0')</v>
      </c>
      <c r="AW20" s="25" t="str">
        <f t="shared" si="21"/>
        <v>INSERT INTO DC_ReaderDisplayProperties ([Tag],[Text],[X],[Y],[FontColor],[DisplayID],[ObjectID],[FontSize],[Width],[Height],[BackColor])</v>
      </c>
      <c r="AX20" s="25" t="str">
        <f t="shared" si="22"/>
        <v>VALUES (@TagID, 'Token', '208', '16', '-16777216', '0', '16', '0', '-1', '-1', '0')</v>
      </c>
      <c r="AY20" s="25" t="str">
        <f t="shared" si="23"/>
        <v>INSERT INTO DC_ReaderDisplayProperties ([Tag],[Text],[X],[Y],[FontColor],[DisplayID],[ObjectID],[FontSize],[Width],[Height],[BackColor])</v>
      </c>
      <c r="AZ20" s="25" t="str">
        <f t="shared" si="24"/>
        <v>VALUES (@TagID, '000000', '232', '56', '-16777216', '0', '17', '0', '-1', '-1', '0')</v>
      </c>
      <c r="BA20" s="25" t="str">
        <f t="shared" si="25"/>
        <v>INSERT INTO DC_ReaderDisplayProperties ([Tag],[Text],[X],[Y],[FontColor],[DisplayID],[ObjectID],[FontSize],[Width],[Height],[BackColor])</v>
      </c>
      <c r="BB20" s="25" t="str">
        <f t="shared" si="26"/>
        <v>VALUES (@TagID, 'Status Message', '8', '200', '-16777216', '0', '18', '0', '-1', '-1', '0')</v>
      </c>
      <c r="BC20" s="25" t="str">
        <f t="shared" si="27"/>
        <v>INSERT INTO DC_ReaderDisplayProperties ([Tag],[Text],[X],[Y],[FontColor],[DisplayID],[ObjectID],[FontSize],[Width],[Height],[BackColor])</v>
      </c>
      <c r="BD20" s="25" t="str">
        <f t="shared" si="28"/>
        <v>VALUES (@TagID, 'Josh Colby, Vibranium Member', '5', '3', '-16777216', '1', '2', '0', '-1', '-1', '0')</v>
      </c>
      <c r="BE20" s="25" t="str">
        <f t="shared" si="29"/>
        <v>INSERT INTO DC_ReaderDisplayProperties ([Tag],[Text],[X],[Y],[FontColor],[DisplayID],[ObjectID],[FontSize],[Width],[Height],[BackColor])</v>
      </c>
      <c r="BF20" s="25" t="str">
        <f t="shared" si="30"/>
        <v>VALUES (@TagID, 'Image', '28', '66', '-16777216', '1', '3', '0', '-1', '-1', '0')</v>
      </c>
      <c r="BG20" s="25" t="str">
        <f t="shared" si="31"/>
        <v>INSERT INTO DC_ReaderDisplayProperties ([Tag],[Text],[X],[Y],[FontColor],[DisplayID],[ObjectID],[FontSize],[Width],[Height],[BackColor])</v>
      </c>
      <c r="BH20" s="25" t="str">
        <f t="shared" si="32"/>
        <v>VALUES (@TagID, 'New Balance', '184', '76', '-16777216', '1', '4', '0', '-1', '-1', '0')</v>
      </c>
      <c r="BI20" s="6" t="str">
        <f t="shared" si="33"/>
        <v>INSERT INTO DC_ReaderDisplayProperties ([Tag],[Text],[X],[Y],[FontColor],[DisplayID],[ObjectID],[FontSize],[Width],[Height],[BackColor])</v>
      </c>
      <c r="BJ20" s="6" t="str">
        <f t="shared" si="34"/>
        <v>VALUES (@TagID, '$9999.00', '214', '134', '-16777216', '1', '5', '0', '-1', '-1', '0')</v>
      </c>
      <c r="BK20" s="6" t="str">
        <f t="shared" si="35"/>
        <v>INSERT INTO DC_ReaderDisplayProperties ([Tag],[Text],[X],[Y],[FontColor],[DisplayID],[ObjectID],[FontSize],[Width],[Height],[BackColor])</v>
      </c>
      <c r="BL20" s="6" t="str">
        <f t="shared" si="36"/>
        <v>VALUES (@TagID, 'Status Message', '16', '200', '-16777216', '1', '19', '0', '-1', '-1', '0')</v>
      </c>
      <c r="BM20" s="6" t="str">
        <f t="shared" si="37"/>
        <v>INSERT INTO DC_ReaderDisplayProperties ([Tag],[Text],[X],[Y],[FontColor],[DisplayID],[ObjectID],[FontSize],[Width],[Height],[BackColor])</v>
      </c>
      <c r="BN20" s="6" t="str">
        <f t="shared" si="38"/>
        <v>VALUES (@TagID, 'Happy Hour', '24', '16', '-16777216', '2', '6', '0', '-1', '-1', '0')</v>
      </c>
      <c r="BO20" s="6" t="str">
        <f t="shared" si="39"/>
        <v>INSERT INTO DC_ReaderDisplayProperties ([Tag],[Text],[X],[Y],[FontColor],[DisplayID],[ObjectID],[FontSize],[Width],[Height],[BackColor])</v>
      </c>
      <c r="BP20" s="6" t="str">
        <f t="shared" si="40"/>
        <v>VALUES (@TagID, '$99.99', '200', '80', '-16777216', '2', '8', '0', '-1', '-1', '0')</v>
      </c>
      <c r="BQ20" s="6" t="str">
        <f t="shared" si="41"/>
        <v>INSERT INTO DC_ReaderDisplayProperties ([Tag],[Text],[X],[Y],[FontColor],[DisplayID],[ObjectID],[FontSize],[Width],[Height],[BackColor])</v>
      </c>
      <c r="BR20" s="6" t="str">
        <f t="shared" si="42"/>
        <v>VALUES (@TagID, 'Status Message', '16', '200', '-16777216', '2', '20', '0', '-1', '-1', '0')</v>
      </c>
      <c r="BS20" s="6" t="str">
        <f t="shared" si="43"/>
        <v>INSERT INTO DC_ReaderDisplayProperties ([Tag],[Text],[X],[Y],[FontColor],[DisplayID],[ObjectID],[FontSize],[Width],[Height],[BackColor])</v>
      </c>
      <c r="BT20" s="6" t="str">
        <f t="shared" si="44"/>
        <v>VALUES (@TagID, '0000', '160', '152', '-16777216', '2', '21', '0', '-1', '-1', '0')</v>
      </c>
      <c r="BU20" s="6" t="str">
        <f t="shared" si="45"/>
        <v>INSERT INTO DC_ReaderDisplayProperties ([Tag],[Text],[X],[Y],[FontColor],[DisplayID],[ObjectID],[FontSize],[Width],[Height],[BackColor])</v>
      </c>
      <c r="BV20" s="6" t="str">
        <f t="shared" si="46"/>
        <v>VALUES (@TagID, 'Token', '24', '152', '-16777216', '2', '22', '0', '-1', '-1', '0')</v>
      </c>
      <c r="BW20" s="6" t="str">
        <f t="shared" si="47"/>
        <v>INSERT INTO DC_ReaderDisplayProperties ([Tag],[Text],[X],[Y],[FontColor],[DisplayID],[ObjectID],[FontSize],[Width],[Height],[BackColor])</v>
      </c>
      <c r="BX20" s="6" t="str">
        <f t="shared" si="48"/>
        <v>VALUES (@TagID, '000000', '54', '78', '-16777216', '3', '13', '2', '-1', '-1', '0')</v>
      </c>
    </row>
    <row r="21" spans="3:76" ht="21">
      <c r="C21" s="25">
        <v>11</v>
      </c>
      <c r="D21" s="50" t="s">
        <v>98</v>
      </c>
      <c r="E21" s="50" t="s">
        <v>107</v>
      </c>
      <c r="F21" s="51" t="s">
        <v>116</v>
      </c>
      <c r="M21" s="25" t="str">
        <f t="shared" si="49"/>
        <v>20</v>
      </c>
      <c r="N21" s="25" t="str">
        <f t="shared" si="50"/>
        <v>12</v>
      </c>
      <c r="O21" s="25" t="str">
        <f t="shared" si="51"/>
        <v>2</v>
      </c>
      <c r="P21" s="25" t="str">
        <f t="shared" si="52"/>
        <v>4</v>
      </c>
      <c r="Q21" s="25" t="str">
        <f t="shared" si="53"/>
        <v>yellow</v>
      </c>
      <c r="R21" s="25" t="str">
        <f t="shared" si="54"/>
        <v>False</v>
      </c>
      <c r="S21" s="25"/>
      <c r="T21" s="25" t="str">
        <f t="shared" si="55"/>
        <v>False</v>
      </c>
      <c r="AA21" s="25" t="str">
        <f t="shared" si="0"/>
        <v>INSERT INTO DC_OnlineDevices ([Description], [MAC_ID], [Device Type], [Location Code])</v>
      </c>
      <c r="AB21" s="25" t="str">
        <f t="shared" si="1"/>
        <v>VALUES ('Gemini Big USA ver', '408432322545', '100', '6');</v>
      </c>
      <c r="AD21" s="25" t="str">
        <f t="shared" si="2"/>
        <v>SET @TagID = SCOPE_IDENTITY();</v>
      </c>
      <c r="AE21" s="25" t="str">
        <f t="shared" si="3"/>
        <v xml:space="preserve">INSERT INTO DC_ArcadeGameDef  ([Tag], [Cash Play Price], [Game Group ID], [Game Sub Group ID], [Asset Tag], [Allow Time Play], [TimeBetweenPlays], [ConsecutivePlays], [PulsePauseWidth], [Device_Interface], [TicketPulseWidth], </v>
      </c>
      <c r="AF21" s="25" t="str">
        <f t="shared" si="4"/>
        <v xml:space="preserve">[ElecronitcTickets], [ActiveButtonCount], [Button1_Value], [Button2_Value], [Button3_Value], [Button1_Pulses], [Button2_Pulses], [Button3_Pulses], [Model], [eclipse_HappyHour], [eclipse_BaseColor], [GlowOption], [CoinPerPulse], </v>
      </c>
      <c r="AG21" s="25" t="str">
        <f t="shared" si="5"/>
        <v>[HopperTimeOut], [CreditCardEnable], [MercyPoints], [SupplementalBackgrounds])</v>
      </c>
      <c r="AH21" s="25" t="str">
        <f t="shared" si="6"/>
        <v>VALUES (@TagID, '2.0000', '20', '12', @TagID, 'False', '10', '3', '100', '2', '3', 'False', '0', '0.0000', '0.0000', '0.0000', '0', '0', '0', '3', '-1', '4', 'True', '1', '100', 'True', '0', 'False');</v>
      </c>
      <c r="AI21" s="25" t="str">
        <f t="shared" si="7"/>
        <v>INSERT INTO DC_ArcadeReaderImages ([Tag], [ID], [Background], [Foreground], [DisplaySettings])</v>
      </c>
      <c r="AJ21" s="25" t="str">
        <f t="shared" si="8"/>
        <v>VALUES (@TagID, '0', '-1', '-1', '1')</v>
      </c>
      <c r="AK21" s="25" t="str">
        <f t="shared" si="9"/>
        <v>INSERT INTO DC_ArcadeReaderImages ([Tag], [ID], [Background], [Foreground], [DisplaySettings])</v>
      </c>
      <c r="AL21" s="25" t="str">
        <f t="shared" si="10"/>
        <v>VALUES (@TagID, '1', '-1', '-1', '1')</v>
      </c>
      <c r="AM21" s="25" t="str">
        <f t="shared" si="11"/>
        <v>INSERT INTO DC_ArcadeReaderImages ([Tag], [ID], [Background], [Foreground], [DisplaySettings])</v>
      </c>
      <c r="AN21" s="25" t="str">
        <f t="shared" si="12"/>
        <v>VALUES (@TagID, '2', '-1', '-1', '1')</v>
      </c>
      <c r="AO21" s="25" t="str">
        <f t="shared" si="13"/>
        <v>INSERT INTO DC_ArcadeReaderImages ([Tag], [ID], [Background], [Foreground], [DisplaySettings])</v>
      </c>
      <c r="AP21" s="25" t="str">
        <f t="shared" si="14"/>
        <v>VALUES (@TagID, '3', '-1', '-1', '1')</v>
      </c>
      <c r="AQ21" s="25" t="str">
        <f t="shared" si="15"/>
        <v>INSERT INTO DC_ArcadeReaderImages ([Tag], [ID], [Background], [Foreground], [DisplaySettings])</v>
      </c>
      <c r="AR21" s="25" t="str">
        <f t="shared" si="16"/>
        <v>VALUES (@TagID, '4', '-1', '-1', '1')</v>
      </c>
      <c r="AS21" s="25" t="str">
        <f t="shared" si="17"/>
        <v>INSERT INTO DC_ReaderDisplayProperties ([Tag],[Text],[X],[Y],[FontColor],[DisplayID],[ObjectID],[FontSize],[Width],[Height],[BackColor])</v>
      </c>
      <c r="AT21" s="25" t="str">
        <f t="shared" si="18"/>
        <v>VALUES (@TagID, 'Play', '5', '3', '-16777216', '0', '0', '0', '-1', '-1', '0')</v>
      </c>
      <c r="AU21" s="25" t="str">
        <f t="shared" si="19"/>
        <v>INSERT INTO DC_ReaderDisplayProperties ([Tag],[Text],[X],[Y],[FontColor],[DisplayID],[ObjectID],[FontSize],[Width],[Height],[BackColor])</v>
      </c>
      <c r="AV21" s="25" t="str">
        <f t="shared" si="20"/>
        <v>VALUES (@TagID, '$0.00', '5', '104', '-16777216', '0', '1', '0', '-1', '-1', '0')</v>
      </c>
      <c r="AW21" s="25" t="str">
        <f t="shared" si="21"/>
        <v>INSERT INTO DC_ReaderDisplayProperties ([Tag],[Text],[X],[Y],[FontColor],[DisplayID],[ObjectID],[FontSize],[Width],[Height],[BackColor])</v>
      </c>
      <c r="AX21" s="25" t="str">
        <f t="shared" si="22"/>
        <v>VALUES (@TagID, 'Token', '208', '16', '-16777216', '0', '16', '0', '-1', '-1', '0')</v>
      </c>
      <c r="AY21" s="25" t="str">
        <f t="shared" si="23"/>
        <v>INSERT INTO DC_ReaderDisplayProperties ([Tag],[Text],[X],[Y],[FontColor],[DisplayID],[ObjectID],[FontSize],[Width],[Height],[BackColor])</v>
      </c>
      <c r="AZ21" s="25" t="str">
        <f t="shared" si="24"/>
        <v>VALUES (@TagID, '000000', '232', '56', '-16777216', '0', '17', '0', '-1', '-1', '0')</v>
      </c>
      <c r="BA21" s="25" t="str">
        <f t="shared" si="25"/>
        <v>INSERT INTO DC_ReaderDisplayProperties ([Tag],[Text],[X],[Y],[FontColor],[DisplayID],[ObjectID],[FontSize],[Width],[Height],[BackColor])</v>
      </c>
      <c r="BB21" s="25" t="str">
        <f t="shared" si="26"/>
        <v>VALUES (@TagID, 'Status Message', '8', '200', '-16777216', '0', '18', '0', '-1', '-1', '0')</v>
      </c>
      <c r="BC21" s="25" t="str">
        <f t="shared" si="27"/>
        <v>INSERT INTO DC_ReaderDisplayProperties ([Tag],[Text],[X],[Y],[FontColor],[DisplayID],[ObjectID],[FontSize],[Width],[Height],[BackColor])</v>
      </c>
      <c r="BD21" s="25" t="str">
        <f t="shared" si="28"/>
        <v>VALUES (@TagID, 'Josh Colby, Vibranium Member', '5', '3', '-16777216', '1', '2', '0', '-1', '-1', '0')</v>
      </c>
      <c r="BE21" s="25" t="str">
        <f t="shared" si="29"/>
        <v>INSERT INTO DC_ReaderDisplayProperties ([Tag],[Text],[X],[Y],[FontColor],[DisplayID],[ObjectID],[FontSize],[Width],[Height],[BackColor])</v>
      </c>
      <c r="BF21" s="25" t="str">
        <f t="shared" si="30"/>
        <v>VALUES (@TagID, 'Image', '28', '66', '-16777216', '1', '3', '0', '-1', '-1', '0')</v>
      </c>
      <c r="BG21" s="25" t="str">
        <f t="shared" si="31"/>
        <v>INSERT INTO DC_ReaderDisplayProperties ([Tag],[Text],[X],[Y],[FontColor],[DisplayID],[ObjectID],[FontSize],[Width],[Height],[BackColor])</v>
      </c>
      <c r="BH21" s="25" t="str">
        <f t="shared" si="32"/>
        <v>VALUES (@TagID, 'New Balance', '184', '76', '-16777216', '1', '4', '0', '-1', '-1', '0')</v>
      </c>
      <c r="BI21" s="6" t="str">
        <f t="shared" si="33"/>
        <v>INSERT INTO DC_ReaderDisplayProperties ([Tag],[Text],[X],[Y],[FontColor],[DisplayID],[ObjectID],[FontSize],[Width],[Height],[BackColor])</v>
      </c>
      <c r="BJ21" s="6" t="str">
        <f t="shared" si="34"/>
        <v>VALUES (@TagID, '$9999.00', '214', '134', '-16777216', '1', '5', '0', '-1', '-1', '0')</v>
      </c>
      <c r="BK21" s="6" t="str">
        <f t="shared" si="35"/>
        <v>INSERT INTO DC_ReaderDisplayProperties ([Tag],[Text],[X],[Y],[FontColor],[DisplayID],[ObjectID],[FontSize],[Width],[Height],[BackColor])</v>
      </c>
      <c r="BL21" s="6" t="str">
        <f t="shared" si="36"/>
        <v>VALUES (@TagID, 'Status Message', '16', '200', '-16777216', '1', '19', '0', '-1', '-1', '0')</v>
      </c>
      <c r="BM21" s="6" t="str">
        <f t="shared" si="37"/>
        <v>INSERT INTO DC_ReaderDisplayProperties ([Tag],[Text],[X],[Y],[FontColor],[DisplayID],[ObjectID],[FontSize],[Width],[Height],[BackColor])</v>
      </c>
      <c r="BN21" s="6" t="str">
        <f t="shared" si="38"/>
        <v>VALUES (@TagID, 'Happy Hour', '24', '16', '-16777216', '2', '6', '0', '-1', '-1', '0')</v>
      </c>
      <c r="BO21" s="6" t="str">
        <f t="shared" si="39"/>
        <v>INSERT INTO DC_ReaderDisplayProperties ([Tag],[Text],[X],[Y],[FontColor],[DisplayID],[ObjectID],[FontSize],[Width],[Height],[BackColor])</v>
      </c>
      <c r="BP21" s="6" t="str">
        <f t="shared" si="40"/>
        <v>VALUES (@TagID, '$99.99', '200', '80', '-16777216', '2', '8', '0', '-1', '-1', '0')</v>
      </c>
      <c r="BQ21" s="6" t="str">
        <f t="shared" si="41"/>
        <v>INSERT INTO DC_ReaderDisplayProperties ([Tag],[Text],[X],[Y],[FontColor],[DisplayID],[ObjectID],[FontSize],[Width],[Height],[BackColor])</v>
      </c>
      <c r="BR21" s="6" t="str">
        <f t="shared" si="42"/>
        <v>VALUES (@TagID, 'Status Message', '16', '200', '-16777216', '2', '20', '0', '-1', '-1', '0')</v>
      </c>
      <c r="BS21" s="6" t="str">
        <f t="shared" si="43"/>
        <v>INSERT INTO DC_ReaderDisplayProperties ([Tag],[Text],[X],[Y],[FontColor],[DisplayID],[ObjectID],[FontSize],[Width],[Height],[BackColor])</v>
      </c>
      <c r="BT21" s="6" t="str">
        <f t="shared" si="44"/>
        <v>VALUES (@TagID, '0000', '160', '152', '-16777216', '2', '21', '0', '-1', '-1', '0')</v>
      </c>
      <c r="BU21" s="6" t="str">
        <f t="shared" si="45"/>
        <v>INSERT INTO DC_ReaderDisplayProperties ([Tag],[Text],[X],[Y],[FontColor],[DisplayID],[ObjectID],[FontSize],[Width],[Height],[BackColor])</v>
      </c>
      <c r="BV21" s="6" t="str">
        <f t="shared" si="46"/>
        <v>VALUES (@TagID, 'Token', '24', '152', '-16777216', '2', '22', '0', '-1', '-1', '0')</v>
      </c>
      <c r="BW21" s="6" t="str">
        <f t="shared" si="47"/>
        <v>INSERT INTO DC_ReaderDisplayProperties ([Tag],[Text],[X],[Y],[FontColor],[DisplayID],[ObjectID],[FontSize],[Width],[Height],[BackColor])</v>
      </c>
      <c r="BX21" s="6" t="str">
        <f t="shared" si="48"/>
        <v>VALUES (@TagID, '000000', '54', '78', '-16777216', '3', '13', '2', '-1', '-1', '0')</v>
      </c>
    </row>
    <row r="22" spans="3:76" ht="21">
      <c r="C22" s="25">
        <v>12</v>
      </c>
      <c r="D22" s="50" t="s">
        <v>98</v>
      </c>
      <c r="E22" s="50" t="s">
        <v>108</v>
      </c>
      <c r="F22" s="51" t="s">
        <v>116</v>
      </c>
      <c r="M22" s="25" t="str">
        <f t="shared" si="49"/>
        <v>20</v>
      </c>
      <c r="N22" s="25" t="str">
        <f t="shared" si="50"/>
        <v>12</v>
      </c>
      <c r="O22" s="25" t="str">
        <f t="shared" si="51"/>
        <v>2</v>
      </c>
      <c r="P22" s="25" t="str">
        <f t="shared" si="52"/>
        <v>4</v>
      </c>
      <c r="Q22" s="25" t="str">
        <f t="shared" si="53"/>
        <v>yellow</v>
      </c>
      <c r="R22" s="25" t="str">
        <f t="shared" si="54"/>
        <v>False</v>
      </c>
      <c r="S22" s="25"/>
      <c r="T22" s="25" t="str">
        <f t="shared" si="55"/>
        <v>False</v>
      </c>
      <c r="AA22" s="25" t="str">
        <f t="shared" si="0"/>
        <v>INSERT INTO DC_OnlineDevices ([Description], [MAC_ID], [Device Type], [Location Code])</v>
      </c>
      <c r="AB22" s="25" t="str">
        <f t="shared" si="1"/>
        <v>VALUES ('Gemini Big USA ver', '4084323223F5', '100', '6');</v>
      </c>
      <c r="AD22" s="25" t="str">
        <f t="shared" si="2"/>
        <v>SET @TagID = SCOPE_IDENTITY();</v>
      </c>
      <c r="AE22" s="25" t="str">
        <f t="shared" si="3"/>
        <v xml:space="preserve">INSERT INTO DC_ArcadeGameDef  ([Tag], [Cash Play Price], [Game Group ID], [Game Sub Group ID], [Asset Tag], [Allow Time Play], [TimeBetweenPlays], [ConsecutivePlays], [PulsePauseWidth], [Device_Interface], [TicketPulseWidth], </v>
      </c>
      <c r="AF22" s="25" t="str">
        <f t="shared" si="4"/>
        <v xml:space="preserve">[ElecronitcTickets], [ActiveButtonCount], [Button1_Value], [Button2_Value], [Button3_Value], [Button1_Pulses], [Button2_Pulses], [Button3_Pulses], [Model], [eclipse_HappyHour], [eclipse_BaseColor], [GlowOption], [CoinPerPulse], </v>
      </c>
      <c r="AG22" s="25" t="str">
        <f t="shared" si="5"/>
        <v>[HopperTimeOut], [CreditCardEnable], [MercyPoints], [SupplementalBackgrounds])</v>
      </c>
      <c r="AH22" s="25" t="str">
        <f t="shared" si="6"/>
        <v>VALUES (@TagID, '2.0000', '20', '12', @TagID, 'False', '10', '3', '100', '2', '3', 'False', '0', '0.0000', '0.0000', '0.0000', '0', '0', '0', '3', '-1', '4', 'True', '1', '100', 'True', '0', 'False');</v>
      </c>
      <c r="AI22" s="25" t="str">
        <f t="shared" si="7"/>
        <v>INSERT INTO DC_ArcadeReaderImages ([Tag], [ID], [Background], [Foreground], [DisplaySettings])</v>
      </c>
      <c r="AJ22" s="25" t="str">
        <f t="shared" si="8"/>
        <v>VALUES (@TagID, '0', '-1', '-1', '1')</v>
      </c>
      <c r="AK22" s="25" t="str">
        <f t="shared" si="9"/>
        <v>INSERT INTO DC_ArcadeReaderImages ([Tag], [ID], [Background], [Foreground], [DisplaySettings])</v>
      </c>
      <c r="AL22" s="25" t="str">
        <f t="shared" si="10"/>
        <v>VALUES (@TagID, '1', '-1', '-1', '1')</v>
      </c>
      <c r="AM22" s="25" t="str">
        <f t="shared" si="11"/>
        <v>INSERT INTO DC_ArcadeReaderImages ([Tag], [ID], [Background], [Foreground], [DisplaySettings])</v>
      </c>
      <c r="AN22" s="25" t="str">
        <f t="shared" si="12"/>
        <v>VALUES (@TagID, '2', '-1', '-1', '1')</v>
      </c>
      <c r="AO22" s="25" t="str">
        <f t="shared" si="13"/>
        <v>INSERT INTO DC_ArcadeReaderImages ([Tag], [ID], [Background], [Foreground], [DisplaySettings])</v>
      </c>
      <c r="AP22" s="25" t="str">
        <f t="shared" si="14"/>
        <v>VALUES (@TagID, '3', '-1', '-1', '1')</v>
      </c>
      <c r="AQ22" s="25" t="str">
        <f t="shared" si="15"/>
        <v>INSERT INTO DC_ArcadeReaderImages ([Tag], [ID], [Background], [Foreground], [DisplaySettings])</v>
      </c>
      <c r="AR22" s="25" t="str">
        <f t="shared" si="16"/>
        <v>VALUES (@TagID, '4', '-1', '-1', '1')</v>
      </c>
      <c r="AS22" s="25" t="str">
        <f t="shared" si="17"/>
        <v>INSERT INTO DC_ReaderDisplayProperties ([Tag],[Text],[X],[Y],[FontColor],[DisplayID],[ObjectID],[FontSize],[Width],[Height],[BackColor])</v>
      </c>
      <c r="AT22" s="25" t="str">
        <f t="shared" si="18"/>
        <v>VALUES (@TagID, 'Play', '5', '3', '-16777216', '0', '0', '0', '-1', '-1', '0')</v>
      </c>
      <c r="AU22" s="25" t="str">
        <f t="shared" si="19"/>
        <v>INSERT INTO DC_ReaderDisplayProperties ([Tag],[Text],[X],[Y],[FontColor],[DisplayID],[ObjectID],[FontSize],[Width],[Height],[BackColor])</v>
      </c>
      <c r="AV22" s="25" t="str">
        <f t="shared" si="20"/>
        <v>VALUES (@TagID, '$0.00', '5', '104', '-16777216', '0', '1', '0', '-1', '-1', '0')</v>
      </c>
      <c r="AW22" s="25" t="str">
        <f t="shared" si="21"/>
        <v>INSERT INTO DC_ReaderDisplayProperties ([Tag],[Text],[X],[Y],[FontColor],[DisplayID],[ObjectID],[FontSize],[Width],[Height],[BackColor])</v>
      </c>
      <c r="AX22" s="25" t="str">
        <f t="shared" si="22"/>
        <v>VALUES (@TagID, 'Token', '208', '16', '-16777216', '0', '16', '0', '-1', '-1', '0')</v>
      </c>
      <c r="AY22" s="25" t="str">
        <f t="shared" si="23"/>
        <v>INSERT INTO DC_ReaderDisplayProperties ([Tag],[Text],[X],[Y],[FontColor],[DisplayID],[ObjectID],[FontSize],[Width],[Height],[BackColor])</v>
      </c>
      <c r="AZ22" s="25" t="str">
        <f t="shared" si="24"/>
        <v>VALUES (@TagID, '000000', '232', '56', '-16777216', '0', '17', '0', '-1', '-1', '0')</v>
      </c>
      <c r="BA22" s="25" t="str">
        <f t="shared" si="25"/>
        <v>INSERT INTO DC_ReaderDisplayProperties ([Tag],[Text],[X],[Y],[FontColor],[DisplayID],[ObjectID],[FontSize],[Width],[Height],[BackColor])</v>
      </c>
      <c r="BB22" s="25" t="str">
        <f t="shared" si="26"/>
        <v>VALUES (@TagID, 'Status Message', '8', '200', '-16777216', '0', '18', '0', '-1', '-1', '0')</v>
      </c>
      <c r="BC22" s="25" t="str">
        <f t="shared" si="27"/>
        <v>INSERT INTO DC_ReaderDisplayProperties ([Tag],[Text],[X],[Y],[FontColor],[DisplayID],[ObjectID],[FontSize],[Width],[Height],[BackColor])</v>
      </c>
      <c r="BD22" s="25" t="str">
        <f t="shared" si="28"/>
        <v>VALUES (@TagID, 'Josh Colby, Vibranium Member', '5', '3', '-16777216', '1', '2', '0', '-1', '-1', '0')</v>
      </c>
      <c r="BE22" s="25" t="str">
        <f t="shared" si="29"/>
        <v>INSERT INTO DC_ReaderDisplayProperties ([Tag],[Text],[X],[Y],[FontColor],[DisplayID],[ObjectID],[FontSize],[Width],[Height],[BackColor])</v>
      </c>
      <c r="BF22" s="25" t="str">
        <f t="shared" si="30"/>
        <v>VALUES (@TagID, 'Image', '28', '66', '-16777216', '1', '3', '0', '-1', '-1', '0')</v>
      </c>
      <c r="BG22" s="25" t="str">
        <f t="shared" si="31"/>
        <v>INSERT INTO DC_ReaderDisplayProperties ([Tag],[Text],[X],[Y],[FontColor],[DisplayID],[ObjectID],[FontSize],[Width],[Height],[BackColor])</v>
      </c>
      <c r="BH22" s="25" t="str">
        <f t="shared" si="32"/>
        <v>VALUES (@TagID, 'New Balance', '184', '76', '-16777216', '1', '4', '0', '-1', '-1', '0')</v>
      </c>
      <c r="BI22" s="6" t="str">
        <f t="shared" si="33"/>
        <v>INSERT INTO DC_ReaderDisplayProperties ([Tag],[Text],[X],[Y],[FontColor],[DisplayID],[ObjectID],[FontSize],[Width],[Height],[BackColor])</v>
      </c>
      <c r="BJ22" s="6" t="str">
        <f t="shared" si="34"/>
        <v>VALUES (@TagID, '$9999.00', '214', '134', '-16777216', '1', '5', '0', '-1', '-1', '0')</v>
      </c>
      <c r="BK22" s="6" t="str">
        <f t="shared" si="35"/>
        <v>INSERT INTO DC_ReaderDisplayProperties ([Tag],[Text],[X],[Y],[FontColor],[DisplayID],[ObjectID],[FontSize],[Width],[Height],[BackColor])</v>
      </c>
      <c r="BL22" s="6" t="str">
        <f t="shared" si="36"/>
        <v>VALUES (@TagID, 'Status Message', '16', '200', '-16777216', '1', '19', '0', '-1', '-1', '0')</v>
      </c>
      <c r="BM22" s="6" t="str">
        <f t="shared" si="37"/>
        <v>INSERT INTO DC_ReaderDisplayProperties ([Tag],[Text],[X],[Y],[FontColor],[DisplayID],[ObjectID],[FontSize],[Width],[Height],[BackColor])</v>
      </c>
      <c r="BN22" s="6" t="str">
        <f t="shared" si="38"/>
        <v>VALUES (@TagID, 'Happy Hour', '24', '16', '-16777216', '2', '6', '0', '-1', '-1', '0')</v>
      </c>
      <c r="BO22" s="6" t="str">
        <f t="shared" si="39"/>
        <v>INSERT INTO DC_ReaderDisplayProperties ([Tag],[Text],[X],[Y],[FontColor],[DisplayID],[ObjectID],[FontSize],[Width],[Height],[BackColor])</v>
      </c>
      <c r="BP22" s="6" t="str">
        <f t="shared" si="40"/>
        <v>VALUES (@TagID, '$99.99', '200', '80', '-16777216', '2', '8', '0', '-1', '-1', '0')</v>
      </c>
      <c r="BQ22" s="6" t="str">
        <f t="shared" si="41"/>
        <v>INSERT INTO DC_ReaderDisplayProperties ([Tag],[Text],[X],[Y],[FontColor],[DisplayID],[ObjectID],[FontSize],[Width],[Height],[BackColor])</v>
      </c>
      <c r="BR22" s="6" t="str">
        <f t="shared" si="42"/>
        <v>VALUES (@TagID, 'Status Message', '16', '200', '-16777216', '2', '20', '0', '-1', '-1', '0')</v>
      </c>
      <c r="BS22" s="6" t="str">
        <f t="shared" si="43"/>
        <v>INSERT INTO DC_ReaderDisplayProperties ([Tag],[Text],[X],[Y],[FontColor],[DisplayID],[ObjectID],[FontSize],[Width],[Height],[BackColor])</v>
      </c>
      <c r="BT22" s="6" t="str">
        <f t="shared" si="44"/>
        <v>VALUES (@TagID, '0000', '160', '152', '-16777216', '2', '21', '0', '-1', '-1', '0')</v>
      </c>
      <c r="BU22" s="6" t="str">
        <f t="shared" si="45"/>
        <v>INSERT INTO DC_ReaderDisplayProperties ([Tag],[Text],[X],[Y],[FontColor],[DisplayID],[ObjectID],[FontSize],[Width],[Height],[BackColor])</v>
      </c>
      <c r="BV22" s="6" t="str">
        <f t="shared" si="46"/>
        <v>VALUES (@TagID, 'Token', '24', '152', '-16777216', '2', '22', '0', '-1', '-1', '0')</v>
      </c>
      <c r="BW22" s="6" t="str">
        <f t="shared" si="47"/>
        <v>INSERT INTO DC_ReaderDisplayProperties ([Tag],[Text],[X],[Y],[FontColor],[DisplayID],[ObjectID],[FontSize],[Width],[Height],[BackColor])</v>
      </c>
      <c r="BX22" s="6" t="str">
        <f t="shared" si="48"/>
        <v>VALUES (@TagID, '000000', '54', '78', '-16777216', '3', '13', '2', '-1', '-1', '0')</v>
      </c>
    </row>
    <row r="23" spans="3:76" ht="21">
      <c r="C23" s="25">
        <v>13</v>
      </c>
      <c r="D23" s="50" t="s">
        <v>98</v>
      </c>
      <c r="E23" s="50" t="s">
        <v>109</v>
      </c>
      <c r="F23" s="51" t="s">
        <v>116</v>
      </c>
      <c r="M23" s="25" t="str">
        <f t="shared" si="49"/>
        <v>20</v>
      </c>
      <c r="N23" s="25" t="str">
        <f t="shared" si="50"/>
        <v>12</v>
      </c>
      <c r="O23" s="25" t="str">
        <f t="shared" si="51"/>
        <v>2</v>
      </c>
      <c r="P23" s="25" t="str">
        <f t="shared" si="52"/>
        <v>4</v>
      </c>
      <c r="Q23" s="25" t="str">
        <f t="shared" si="53"/>
        <v>yellow</v>
      </c>
      <c r="R23" s="25" t="str">
        <f t="shared" si="54"/>
        <v>False</v>
      </c>
      <c r="S23" s="25"/>
      <c r="T23" s="25" t="str">
        <f t="shared" si="55"/>
        <v>False</v>
      </c>
      <c r="AA23" s="25" t="str">
        <f t="shared" si="0"/>
        <v>INSERT INTO DC_OnlineDevices ([Description], [MAC_ID], [Device Type], [Location Code])</v>
      </c>
      <c r="AB23" s="25" t="str">
        <f t="shared" si="1"/>
        <v>VALUES ('Gemini Big USA ver', '40843232240B', '100', '6');</v>
      </c>
      <c r="AD23" s="25" t="str">
        <f t="shared" si="2"/>
        <v>SET @TagID = SCOPE_IDENTITY();</v>
      </c>
      <c r="AE23" s="25" t="str">
        <f t="shared" si="3"/>
        <v xml:space="preserve">INSERT INTO DC_ArcadeGameDef  ([Tag], [Cash Play Price], [Game Group ID], [Game Sub Group ID], [Asset Tag], [Allow Time Play], [TimeBetweenPlays], [ConsecutivePlays], [PulsePauseWidth], [Device_Interface], [TicketPulseWidth], </v>
      </c>
      <c r="AF23" s="25" t="str">
        <f t="shared" si="4"/>
        <v xml:space="preserve">[ElecronitcTickets], [ActiveButtonCount], [Button1_Value], [Button2_Value], [Button3_Value], [Button1_Pulses], [Button2_Pulses], [Button3_Pulses], [Model], [eclipse_HappyHour], [eclipse_BaseColor], [GlowOption], [CoinPerPulse], </v>
      </c>
      <c r="AG23" s="25" t="str">
        <f t="shared" si="5"/>
        <v>[HopperTimeOut], [CreditCardEnable], [MercyPoints], [SupplementalBackgrounds])</v>
      </c>
      <c r="AH23" s="25" t="str">
        <f t="shared" si="6"/>
        <v>VALUES (@TagID, '2.0000', '20', '12', @TagID, 'False', '10', '3', '100', '2', '3', 'False', '0', '0.0000', '0.0000', '0.0000', '0', '0', '0', '3', '-1', '4', 'True', '1', '100', 'True', '0', 'False');</v>
      </c>
      <c r="AI23" s="25" t="str">
        <f t="shared" si="7"/>
        <v>INSERT INTO DC_ArcadeReaderImages ([Tag], [ID], [Background], [Foreground], [DisplaySettings])</v>
      </c>
      <c r="AJ23" s="25" t="str">
        <f t="shared" si="8"/>
        <v>VALUES (@TagID, '0', '-1', '-1', '1')</v>
      </c>
      <c r="AK23" s="25" t="str">
        <f t="shared" si="9"/>
        <v>INSERT INTO DC_ArcadeReaderImages ([Tag], [ID], [Background], [Foreground], [DisplaySettings])</v>
      </c>
      <c r="AL23" s="25" t="str">
        <f t="shared" si="10"/>
        <v>VALUES (@TagID, '1', '-1', '-1', '1')</v>
      </c>
      <c r="AM23" s="25" t="str">
        <f t="shared" si="11"/>
        <v>INSERT INTO DC_ArcadeReaderImages ([Tag], [ID], [Background], [Foreground], [DisplaySettings])</v>
      </c>
      <c r="AN23" s="25" t="str">
        <f t="shared" si="12"/>
        <v>VALUES (@TagID, '2', '-1', '-1', '1')</v>
      </c>
      <c r="AO23" s="25" t="str">
        <f t="shared" si="13"/>
        <v>INSERT INTO DC_ArcadeReaderImages ([Tag], [ID], [Background], [Foreground], [DisplaySettings])</v>
      </c>
      <c r="AP23" s="25" t="str">
        <f t="shared" si="14"/>
        <v>VALUES (@TagID, '3', '-1', '-1', '1')</v>
      </c>
      <c r="AQ23" s="25" t="str">
        <f t="shared" si="15"/>
        <v>INSERT INTO DC_ArcadeReaderImages ([Tag], [ID], [Background], [Foreground], [DisplaySettings])</v>
      </c>
      <c r="AR23" s="25" t="str">
        <f t="shared" si="16"/>
        <v>VALUES (@TagID, '4', '-1', '-1', '1')</v>
      </c>
      <c r="AS23" s="25" t="str">
        <f t="shared" si="17"/>
        <v>INSERT INTO DC_ReaderDisplayProperties ([Tag],[Text],[X],[Y],[FontColor],[DisplayID],[ObjectID],[FontSize],[Width],[Height],[BackColor])</v>
      </c>
      <c r="AT23" s="25" t="str">
        <f t="shared" si="18"/>
        <v>VALUES (@TagID, 'Play', '5', '3', '-16777216', '0', '0', '0', '-1', '-1', '0')</v>
      </c>
      <c r="AU23" s="25" t="str">
        <f t="shared" si="19"/>
        <v>INSERT INTO DC_ReaderDisplayProperties ([Tag],[Text],[X],[Y],[FontColor],[DisplayID],[ObjectID],[FontSize],[Width],[Height],[BackColor])</v>
      </c>
      <c r="AV23" s="25" t="str">
        <f t="shared" si="20"/>
        <v>VALUES (@TagID, '$0.00', '5', '104', '-16777216', '0', '1', '0', '-1', '-1', '0')</v>
      </c>
      <c r="AW23" s="25" t="str">
        <f t="shared" si="21"/>
        <v>INSERT INTO DC_ReaderDisplayProperties ([Tag],[Text],[X],[Y],[FontColor],[DisplayID],[ObjectID],[FontSize],[Width],[Height],[BackColor])</v>
      </c>
      <c r="AX23" s="25" t="str">
        <f t="shared" si="22"/>
        <v>VALUES (@TagID, 'Token', '208', '16', '-16777216', '0', '16', '0', '-1', '-1', '0')</v>
      </c>
      <c r="AY23" s="25" t="str">
        <f t="shared" si="23"/>
        <v>INSERT INTO DC_ReaderDisplayProperties ([Tag],[Text],[X],[Y],[FontColor],[DisplayID],[ObjectID],[FontSize],[Width],[Height],[BackColor])</v>
      </c>
      <c r="AZ23" s="25" t="str">
        <f t="shared" si="24"/>
        <v>VALUES (@TagID, '000000', '232', '56', '-16777216', '0', '17', '0', '-1', '-1', '0')</v>
      </c>
      <c r="BA23" s="25" t="str">
        <f t="shared" si="25"/>
        <v>INSERT INTO DC_ReaderDisplayProperties ([Tag],[Text],[X],[Y],[FontColor],[DisplayID],[ObjectID],[FontSize],[Width],[Height],[BackColor])</v>
      </c>
      <c r="BB23" s="25" t="str">
        <f t="shared" si="26"/>
        <v>VALUES (@TagID, 'Status Message', '8', '200', '-16777216', '0', '18', '0', '-1', '-1', '0')</v>
      </c>
      <c r="BC23" s="25" t="str">
        <f t="shared" si="27"/>
        <v>INSERT INTO DC_ReaderDisplayProperties ([Tag],[Text],[X],[Y],[FontColor],[DisplayID],[ObjectID],[FontSize],[Width],[Height],[BackColor])</v>
      </c>
      <c r="BD23" s="25" t="str">
        <f t="shared" si="28"/>
        <v>VALUES (@TagID, 'Josh Colby, Vibranium Member', '5', '3', '-16777216', '1', '2', '0', '-1', '-1', '0')</v>
      </c>
      <c r="BE23" s="25" t="str">
        <f t="shared" si="29"/>
        <v>INSERT INTO DC_ReaderDisplayProperties ([Tag],[Text],[X],[Y],[FontColor],[DisplayID],[ObjectID],[FontSize],[Width],[Height],[BackColor])</v>
      </c>
      <c r="BF23" s="25" t="str">
        <f t="shared" si="30"/>
        <v>VALUES (@TagID, 'Image', '28', '66', '-16777216', '1', '3', '0', '-1', '-1', '0')</v>
      </c>
      <c r="BG23" s="25" t="str">
        <f t="shared" si="31"/>
        <v>INSERT INTO DC_ReaderDisplayProperties ([Tag],[Text],[X],[Y],[FontColor],[DisplayID],[ObjectID],[FontSize],[Width],[Height],[BackColor])</v>
      </c>
      <c r="BH23" s="25" t="str">
        <f t="shared" si="32"/>
        <v>VALUES (@TagID, 'New Balance', '184', '76', '-16777216', '1', '4', '0', '-1', '-1', '0')</v>
      </c>
      <c r="BI23" s="6" t="str">
        <f t="shared" si="33"/>
        <v>INSERT INTO DC_ReaderDisplayProperties ([Tag],[Text],[X],[Y],[FontColor],[DisplayID],[ObjectID],[FontSize],[Width],[Height],[BackColor])</v>
      </c>
      <c r="BJ23" s="6" t="str">
        <f t="shared" si="34"/>
        <v>VALUES (@TagID, '$9999.00', '214', '134', '-16777216', '1', '5', '0', '-1', '-1', '0')</v>
      </c>
      <c r="BK23" s="6" t="str">
        <f t="shared" si="35"/>
        <v>INSERT INTO DC_ReaderDisplayProperties ([Tag],[Text],[X],[Y],[FontColor],[DisplayID],[ObjectID],[FontSize],[Width],[Height],[BackColor])</v>
      </c>
      <c r="BL23" s="6" t="str">
        <f t="shared" si="36"/>
        <v>VALUES (@TagID, 'Status Message', '16', '200', '-16777216', '1', '19', '0', '-1', '-1', '0')</v>
      </c>
      <c r="BM23" s="6" t="str">
        <f t="shared" si="37"/>
        <v>INSERT INTO DC_ReaderDisplayProperties ([Tag],[Text],[X],[Y],[FontColor],[DisplayID],[ObjectID],[FontSize],[Width],[Height],[BackColor])</v>
      </c>
      <c r="BN23" s="6" t="str">
        <f t="shared" si="38"/>
        <v>VALUES (@TagID, 'Happy Hour', '24', '16', '-16777216', '2', '6', '0', '-1', '-1', '0')</v>
      </c>
      <c r="BO23" s="6" t="str">
        <f t="shared" si="39"/>
        <v>INSERT INTO DC_ReaderDisplayProperties ([Tag],[Text],[X],[Y],[FontColor],[DisplayID],[ObjectID],[FontSize],[Width],[Height],[BackColor])</v>
      </c>
      <c r="BP23" s="6" t="str">
        <f t="shared" si="40"/>
        <v>VALUES (@TagID, '$99.99', '200', '80', '-16777216', '2', '8', '0', '-1', '-1', '0')</v>
      </c>
      <c r="BQ23" s="6" t="str">
        <f t="shared" si="41"/>
        <v>INSERT INTO DC_ReaderDisplayProperties ([Tag],[Text],[X],[Y],[FontColor],[DisplayID],[ObjectID],[FontSize],[Width],[Height],[BackColor])</v>
      </c>
      <c r="BR23" s="6" t="str">
        <f t="shared" si="42"/>
        <v>VALUES (@TagID, 'Status Message', '16', '200', '-16777216', '2', '20', '0', '-1', '-1', '0')</v>
      </c>
      <c r="BS23" s="6" t="str">
        <f t="shared" si="43"/>
        <v>INSERT INTO DC_ReaderDisplayProperties ([Tag],[Text],[X],[Y],[FontColor],[DisplayID],[ObjectID],[FontSize],[Width],[Height],[BackColor])</v>
      </c>
      <c r="BT23" s="6" t="str">
        <f t="shared" si="44"/>
        <v>VALUES (@TagID, '0000', '160', '152', '-16777216', '2', '21', '0', '-1', '-1', '0')</v>
      </c>
      <c r="BU23" s="6" t="str">
        <f t="shared" si="45"/>
        <v>INSERT INTO DC_ReaderDisplayProperties ([Tag],[Text],[X],[Y],[FontColor],[DisplayID],[ObjectID],[FontSize],[Width],[Height],[BackColor])</v>
      </c>
      <c r="BV23" s="6" t="str">
        <f t="shared" si="46"/>
        <v>VALUES (@TagID, 'Token', '24', '152', '-16777216', '2', '22', '0', '-1', '-1', '0')</v>
      </c>
      <c r="BW23" s="6" t="str">
        <f t="shared" si="47"/>
        <v>INSERT INTO DC_ReaderDisplayProperties ([Tag],[Text],[X],[Y],[FontColor],[DisplayID],[ObjectID],[FontSize],[Width],[Height],[BackColor])</v>
      </c>
      <c r="BX23" s="6" t="str">
        <f t="shared" si="48"/>
        <v>VALUES (@TagID, '000000', '54', '78', '-16777216', '3', '13', '2', '-1', '-1', '0')</v>
      </c>
    </row>
    <row r="24" spans="3:76" ht="21">
      <c r="C24" s="25">
        <v>14</v>
      </c>
      <c r="D24" s="50" t="s">
        <v>98</v>
      </c>
      <c r="E24" s="50" t="s">
        <v>110</v>
      </c>
      <c r="F24" s="51" t="s">
        <v>116</v>
      </c>
      <c r="M24" s="25" t="str">
        <f t="shared" si="49"/>
        <v>20</v>
      </c>
      <c r="N24" s="25" t="str">
        <f t="shared" si="50"/>
        <v>12</v>
      </c>
      <c r="O24" s="25" t="str">
        <f t="shared" si="51"/>
        <v>2</v>
      </c>
      <c r="P24" s="25" t="str">
        <f t="shared" si="52"/>
        <v>4</v>
      </c>
      <c r="Q24" s="25" t="str">
        <f t="shared" si="53"/>
        <v>yellow</v>
      </c>
      <c r="R24" s="25" t="str">
        <f t="shared" si="54"/>
        <v>False</v>
      </c>
      <c r="S24" s="25"/>
      <c r="T24" s="25" t="str">
        <f t="shared" si="55"/>
        <v>False</v>
      </c>
      <c r="AA24" s="25" t="str">
        <f t="shared" si="0"/>
        <v>INSERT INTO DC_OnlineDevices ([Description], [MAC_ID], [Device Type], [Location Code])</v>
      </c>
      <c r="AB24" s="25" t="str">
        <f t="shared" si="1"/>
        <v>VALUES ('Gemini Big USA ver', '4084323222D9', '100', '6');</v>
      </c>
      <c r="AD24" s="25" t="str">
        <f t="shared" si="2"/>
        <v>SET @TagID = SCOPE_IDENTITY();</v>
      </c>
      <c r="AE24" s="25" t="str">
        <f t="shared" si="3"/>
        <v xml:space="preserve">INSERT INTO DC_ArcadeGameDef  ([Tag], [Cash Play Price], [Game Group ID], [Game Sub Group ID], [Asset Tag], [Allow Time Play], [TimeBetweenPlays], [ConsecutivePlays], [PulsePauseWidth], [Device_Interface], [TicketPulseWidth], </v>
      </c>
      <c r="AF24" s="25" t="str">
        <f t="shared" si="4"/>
        <v xml:space="preserve">[ElecronitcTickets], [ActiveButtonCount], [Button1_Value], [Button2_Value], [Button3_Value], [Button1_Pulses], [Button2_Pulses], [Button3_Pulses], [Model], [eclipse_HappyHour], [eclipse_BaseColor], [GlowOption], [CoinPerPulse], </v>
      </c>
      <c r="AG24" s="25" t="str">
        <f t="shared" si="5"/>
        <v>[HopperTimeOut], [CreditCardEnable], [MercyPoints], [SupplementalBackgrounds])</v>
      </c>
      <c r="AH24" s="25" t="str">
        <f t="shared" si="6"/>
        <v>VALUES (@TagID, '2.0000', '20', '12', @TagID, 'False', '10', '3', '100', '2', '3', 'False', '0', '0.0000', '0.0000', '0.0000', '0', '0', '0', '3', '-1', '4', 'True', '1', '100', 'True', '0', 'False');</v>
      </c>
      <c r="AI24" s="25" t="str">
        <f t="shared" si="7"/>
        <v>INSERT INTO DC_ArcadeReaderImages ([Tag], [ID], [Background], [Foreground], [DisplaySettings])</v>
      </c>
      <c r="AJ24" s="25" t="str">
        <f t="shared" si="8"/>
        <v>VALUES (@TagID, '0', '-1', '-1', '1')</v>
      </c>
      <c r="AK24" s="25" t="str">
        <f t="shared" si="9"/>
        <v>INSERT INTO DC_ArcadeReaderImages ([Tag], [ID], [Background], [Foreground], [DisplaySettings])</v>
      </c>
      <c r="AL24" s="25" t="str">
        <f t="shared" si="10"/>
        <v>VALUES (@TagID, '1', '-1', '-1', '1')</v>
      </c>
      <c r="AM24" s="25" t="str">
        <f t="shared" si="11"/>
        <v>INSERT INTO DC_ArcadeReaderImages ([Tag], [ID], [Background], [Foreground], [DisplaySettings])</v>
      </c>
      <c r="AN24" s="25" t="str">
        <f t="shared" si="12"/>
        <v>VALUES (@TagID, '2', '-1', '-1', '1')</v>
      </c>
      <c r="AO24" s="25" t="str">
        <f t="shared" si="13"/>
        <v>INSERT INTO DC_ArcadeReaderImages ([Tag], [ID], [Background], [Foreground], [DisplaySettings])</v>
      </c>
      <c r="AP24" s="25" t="str">
        <f t="shared" si="14"/>
        <v>VALUES (@TagID, '3', '-1', '-1', '1')</v>
      </c>
      <c r="AQ24" s="25" t="str">
        <f t="shared" si="15"/>
        <v>INSERT INTO DC_ArcadeReaderImages ([Tag], [ID], [Background], [Foreground], [DisplaySettings])</v>
      </c>
      <c r="AR24" s="25" t="str">
        <f t="shared" si="16"/>
        <v>VALUES (@TagID, '4', '-1', '-1', '1')</v>
      </c>
      <c r="AS24" s="25" t="str">
        <f t="shared" si="17"/>
        <v>INSERT INTO DC_ReaderDisplayProperties ([Tag],[Text],[X],[Y],[FontColor],[DisplayID],[ObjectID],[FontSize],[Width],[Height],[BackColor])</v>
      </c>
      <c r="AT24" s="25" t="str">
        <f t="shared" si="18"/>
        <v>VALUES (@TagID, 'Play', '5', '3', '-16777216', '0', '0', '0', '-1', '-1', '0')</v>
      </c>
      <c r="AU24" s="25" t="str">
        <f t="shared" si="19"/>
        <v>INSERT INTO DC_ReaderDisplayProperties ([Tag],[Text],[X],[Y],[FontColor],[DisplayID],[ObjectID],[FontSize],[Width],[Height],[BackColor])</v>
      </c>
      <c r="AV24" s="25" t="str">
        <f t="shared" si="20"/>
        <v>VALUES (@TagID, '$0.00', '5', '104', '-16777216', '0', '1', '0', '-1', '-1', '0')</v>
      </c>
      <c r="AW24" s="25" t="str">
        <f t="shared" si="21"/>
        <v>INSERT INTO DC_ReaderDisplayProperties ([Tag],[Text],[X],[Y],[FontColor],[DisplayID],[ObjectID],[FontSize],[Width],[Height],[BackColor])</v>
      </c>
      <c r="AX24" s="25" t="str">
        <f t="shared" si="22"/>
        <v>VALUES (@TagID, 'Token', '208', '16', '-16777216', '0', '16', '0', '-1', '-1', '0')</v>
      </c>
      <c r="AY24" s="25" t="str">
        <f t="shared" si="23"/>
        <v>INSERT INTO DC_ReaderDisplayProperties ([Tag],[Text],[X],[Y],[FontColor],[DisplayID],[ObjectID],[FontSize],[Width],[Height],[BackColor])</v>
      </c>
      <c r="AZ24" s="25" t="str">
        <f t="shared" si="24"/>
        <v>VALUES (@TagID, '000000', '232', '56', '-16777216', '0', '17', '0', '-1', '-1', '0')</v>
      </c>
      <c r="BA24" s="25" t="str">
        <f t="shared" si="25"/>
        <v>INSERT INTO DC_ReaderDisplayProperties ([Tag],[Text],[X],[Y],[FontColor],[DisplayID],[ObjectID],[FontSize],[Width],[Height],[BackColor])</v>
      </c>
      <c r="BB24" s="25" t="str">
        <f t="shared" si="26"/>
        <v>VALUES (@TagID, 'Status Message', '8', '200', '-16777216', '0', '18', '0', '-1', '-1', '0')</v>
      </c>
      <c r="BC24" s="25" t="str">
        <f t="shared" si="27"/>
        <v>INSERT INTO DC_ReaderDisplayProperties ([Tag],[Text],[X],[Y],[FontColor],[DisplayID],[ObjectID],[FontSize],[Width],[Height],[BackColor])</v>
      </c>
      <c r="BD24" s="25" t="str">
        <f t="shared" si="28"/>
        <v>VALUES (@TagID, 'Josh Colby, Vibranium Member', '5', '3', '-16777216', '1', '2', '0', '-1', '-1', '0')</v>
      </c>
      <c r="BE24" s="25" t="str">
        <f t="shared" si="29"/>
        <v>INSERT INTO DC_ReaderDisplayProperties ([Tag],[Text],[X],[Y],[FontColor],[DisplayID],[ObjectID],[FontSize],[Width],[Height],[BackColor])</v>
      </c>
      <c r="BF24" s="25" t="str">
        <f t="shared" si="30"/>
        <v>VALUES (@TagID, 'Image', '28', '66', '-16777216', '1', '3', '0', '-1', '-1', '0')</v>
      </c>
      <c r="BG24" s="25" t="str">
        <f t="shared" si="31"/>
        <v>INSERT INTO DC_ReaderDisplayProperties ([Tag],[Text],[X],[Y],[FontColor],[DisplayID],[ObjectID],[FontSize],[Width],[Height],[BackColor])</v>
      </c>
      <c r="BH24" s="25" t="str">
        <f t="shared" si="32"/>
        <v>VALUES (@TagID, 'New Balance', '184', '76', '-16777216', '1', '4', '0', '-1', '-1', '0')</v>
      </c>
      <c r="BI24" s="6" t="str">
        <f t="shared" si="33"/>
        <v>INSERT INTO DC_ReaderDisplayProperties ([Tag],[Text],[X],[Y],[FontColor],[DisplayID],[ObjectID],[FontSize],[Width],[Height],[BackColor])</v>
      </c>
      <c r="BJ24" s="6" t="str">
        <f t="shared" si="34"/>
        <v>VALUES (@TagID, '$9999.00', '214', '134', '-16777216', '1', '5', '0', '-1', '-1', '0')</v>
      </c>
      <c r="BK24" s="6" t="str">
        <f t="shared" si="35"/>
        <v>INSERT INTO DC_ReaderDisplayProperties ([Tag],[Text],[X],[Y],[FontColor],[DisplayID],[ObjectID],[FontSize],[Width],[Height],[BackColor])</v>
      </c>
      <c r="BL24" s="6" t="str">
        <f t="shared" si="36"/>
        <v>VALUES (@TagID, 'Status Message', '16', '200', '-16777216', '1', '19', '0', '-1', '-1', '0')</v>
      </c>
      <c r="BM24" s="6" t="str">
        <f t="shared" si="37"/>
        <v>INSERT INTO DC_ReaderDisplayProperties ([Tag],[Text],[X],[Y],[FontColor],[DisplayID],[ObjectID],[FontSize],[Width],[Height],[BackColor])</v>
      </c>
      <c r="BN24" s="6" t="str">
        <f t="shared" si="38"/>
        <v>VALUES (@TagID, 'Happy Hour', '24', '16', '-16777216', '2', '6', '0', '-1', '-1', '0')</v>
      </c>
      <c r="BO24" s="6" t="str">
        <f t="shared" si="39"/>
        <v>INSERT INTO DC_ReaderDisplayProperties ([Tag],[Text],[X],[Y],[FontColor],[DisplayID],[ObjectID],[FontSize],[Width],[Height],[BackColor])</v>
      </c>
      <c r="BP24" s="6" t="str">
        <f t="shared" si="40"/>
        <v>VALUES (@TagID, '$99.99', '200', '80', '-16777216', '2', '8', '0', '-1', '-1', '0')</v>
      </c>
      <c r="BQ24" s="6" t="str">
        <f t="shared" si="41"/>
        <v>INSERT INTO DC_ReaderDisplayProperties ([Tag],[Text],[X],[Y],[FontColor],[DisplayID],[ObjectID],[FontSize],[Width],[Height],[BackColor])</v>
      </c>
      <c r="BR24" s="6" t="str">
        <f t="shared" si="42"/>
        <v>VALUES (@TagID, 'Status Message', '16', '200', '-16777216', '2', '20', '0', '-1', '-1', '0')</v>
      </c>
      <c r="BS24" s="6" t="str">
        <f t="shared" si="43"/>
        <v>INSERT INTO DC_ReaderDisplayProperties ([Tag],[Text],[X],[Y],[FontColor],[DisplayID],[ObjectID],[FontSize],[Width],[Height],[BackColor])</v>
      </c>
      <c r="BT24" s="6" t="str">
        <f t="shared" si="44"/>
        <v>VALUES (@TagID, '0000', '160', '152', '-16777216', '2', '21', '0', '-1', '-1', '0')</v>
      </c>
      <c r="BU24" s="6" t="str">
        <f t="shared" si="45"/>
        <v>INSERT INTO DC_ReaderDisplayProperties ([Tag],[Text],[X],[Y],[FontColor],[DisplayID],[ObjectID],[FontSize],[Width],[Height],[BackColor])</v>
      </c>
      <c r="BV24" s="6" t="str">
        <f t="shared" si="46"/>
        <v>VALUES (@TagID, 'Token', '24', '152', '-16777216', '2', '22', '0', '-1', '-1', '0')</v>
      </c>
      <c r="BW24" s="6" t="str">
        <f t="shared" si="47"/>
        <v>INSERT INTO DC_ReaderDisplayProperties ([Tag],[Text],[X],[Y],[FontColor],[DisplayID],[ObjectID],[FontSize],[Width],[Height],[BackColor])</v>
      </c>
      <c r="BX24" s="6" t="str">
        <f t="shared" si="48"/>
        <v>VALUES (@TagID, '000000', '54', '78', '-16777216', '3', '13', '2', '-1', '-1', '0')</v>
      </c>
    </row>
    <row r="25" spans="3:76" ht="21">
      <c r="C25" s="25">
        <v>15</v>
      </c>
      <c r="D25" s="50" t="s">
        <v>98</v>
      </c>
      <c r="E25" s="50" t="s">
        <v>111</v>
      </c>
      <c r="F25" s="51" t="s">
        <v>116</v>
      </c>
      <c r="M25" s="25" t="str">
        <f t="shared" si="49"/>
        <v>20</v>
      </c>
      <c r="N25" s="25" t="str">
        <f t="shared" si="50"/>
        <v>12</v>
      </c>
      <c r="O25" s="25" t="str">
        <f t="shared" si="51"/>
        <v>2</v>
      </c>
      <c r="P25" s="25" t="str">
        <f t="shared" si="52"/>
        <v>4</v>
      </c>
      <c r="Q25" s="25" t="str">
        <f t="shared" si="53"/>
        <v>yellow</v>
      </c>
      <c r="R25" s="25" t="str">
        <f t="shared" si="54"/>
        <v>False</v>
      </c>
      <c r="S25" s="25"/>
      <c r="T25" s="25" t="str">
        <f t="shared" si="55"/>
        <v>False</v>
      </c>
      <c r="AA25" s="25" t="str">
        <f t="shared" si="0"/>
        <v>INSERT INTO DC_OnlineDevices ([Description], [MAC_ID], [Device Type], [Location Code])</v>
      </c>
      <c r="AB25" s="25" t="str">
        <f t="shared" si="1"/>
        <v>VALUES ('Gemini Big USA ver', '4084323223F6', '100', '6');</v>
      </c>
      <c r="AD25" s="25" t="str">
        <f t="shared" si="2"/>
        <v>SET @TagID = SCOPE_IDENTITY();</v>
      </c>
      <c r="AE25" s="25" t="str">
        <f t="shared" si="3"/>
        <v xml:space="preserve">INSERT INTO DC_ArcadeGameDef  ([Tag], [Cash Play Price], [Game Group ID], [Game Sub Group ID], [Asset Tag], [Allow Time Play], [TimeBetweenPlays], [ConsecutivePlays], [PulsePauseWidth], [Device_Interface], [TicketPulseWidth], </v>
      </c>
      <c r="AF25" s="25" t="str">
        <f t="shared" si="4"/>
        <v xml:space="preserve">[ElecronitcTickets], [ActiveButtonCount], [Button1_Value], [Button2_Value], [Button3_Value], [Button1_Pulses], [Button2_Pulses], [Button3_Pulses], [Model], [eclipse_HappyHour], [eclipse_BaseColor], [GlowOption], [CoinPerPulse], </v>
      </c>
      <c r="AG25" s="25" t="str">
        <f t="shared" si="5"/>
        <v>[HopperTimeOut], [CreditCardEnable], [MercyPoints], [SupplementalBackgrounds])</v>
      </c>
      <c r="AH25" s="25" t="str">
        <f t="shared" si="6"/>
        <v>VALUES (@TagID, '2.0000', '20', '12', @TagID, 'False', '10', '3', '100', '2', '3', 'False', '0', '0.0000', '0.0000', '0.0000', '0', '0', '0', '3', '-1', '4', 'True', '1', '100', 'True', '0', 'False');</v>
      </c>
      <c r="AI25" s="25" t="str">
        <f t="shared" si="7"/>
        <v>INSERT INTO DC_ArcadeReaderImages ([Tag], [ID], [Background], [Foreground], [DisplaySettings])</v>
      </c>
      <c r="AJ25" s="25" t="str">
        <f t="shared" si="8"/>
        <v>VALUES (@TagID, '0', '-1', '-1', '1')</v>
      </c>
      <c r="AK25" s="25" t="str">
        <f t="shared" si="9"/>
        <v>INSERT INTO DC_ArcadeReaderImages ([Tag], [ID], [Background], [Foreground], [DisplaySettings])</v>
      </c>
      <c r="AL25" s="25" t="str">
        <f t="shared" si="10"/>
        <v>VALUES (@TagID, '1', '-1', '-1', '1')</v>
      </c>
      <c r="AM25" s="25" t="str">
        <f t="shared" si="11"/>
        <v>INSERT INTO DC_ArcadeReaderImages ([Tag], [ID], [Background], [Foreground], [DisplaySettings])</v>
      </c>
      <c r="AN25" s="25" t="str">
        <f t="shared" si="12"/>
        <v>VALUES (@TagID, '2', '-1', '-1', '1')</v>
      </c>
      <c r="AO25" s="25" t="str">
        <f t="shared" si="13"/>
        <v>INSERT INTO DC_ArcadeReaderImages ([Tag], [ID], [Background], [Foreground], [DisplaySettings])</v>
      </c>
      <c r="AP25" s="25" t="str">
        <f t="shared" si="14"/>
        <v>VALUES (@TagID, '3', '-1', '-1', '1')</v>
      </c>
      <c r="AQ25" s="25" t="str">
        <f t="shared" si="15"/>
        <v>INSERT INTO DC_ArcadeReaderImages ([Tag], [ID], [Background], [Foreground], [DisplaySettings])</v>
      </c>
      <c r="AR25" s="25" t="str">
        <f t="shared" si="16"/>
        <v>VALUES (@TagID, '4', '-1', '-1', '1')</v>
      </c>
      <c r="AS25" s="25" t="str">
        <f t="shared" si="17"/>
        <v>INSERT INTO DC_ReaderDisplayProperties ([Tag],[Text],[X],[Y],[FontColor],[DisplayID],[ObjectID],[FontSize],[Width],[Height],[BackColor])</v>
      </c>
      <c r="AT25" s="25" t="str">
        <f t="shared" si="18"/>
        <v>VALUES (@TagID, 'Play', '5', '3', '-16777216', '0', '0', '0', '-1', '-1', '0')</v>
      </c>
      <c r="AU25" s="25" t="str">
        <f t="shared" si="19"/>
        <v>INSERT INTO DC_ReaderDisplayProperties ([Tag],[Text],[X],[Y],[FontColor],[DisplayID],[ObjectID],[FontSize],[Width],[Height],[BackColor])</v>
      </c>
      <c r="AV25" s="25" t="str">
        <f t="shared" si="20"/>
        <v>VALUES (@TagID, '$0.00', '5', '104', '-16777216', '0', '1', '0', '-1', '-1', '0')</v>
      </c>
      <c r="AW25" s="25" t="str">
        <f t="shared" si="21"/>
        <v>INSERT INTO DC_ReaderDisplayProperties ([Tag],[Text],[X],[Y],[FontColor],[DisplayID],[ObjectID],[FontSize],[Width],[Height],[BackColor])</v>
      </c>
      <c r="AX25" s="25" t="str">
        <f t="shared" si="22"/>
        <v>VALUES (@TagID, 'Token', '208', '16', '-16777216', '0', '16', '0', '-1', '-1', '0')</v>
      </c>
      <c r="AY25" s="25" t="str">
        <f t="shared" si="23"/>
        <v>INSERT INTO DC_ReaderDisplayProperties ([Tag],[Text],[X],[Y],[FontColor],[DisplayID],[ObjectID],[FontSize],[Width],[Height],[BackColor])</v>
      </c>
      <c r="AZ25" s="25" t="str">
        <f t="shared" si="24"/>
        <v>VALUES (@TagID, '000000', '232', '56', '-16777216', '0', '17', '0', '-1', '-1', '0')</v>
      </c>
      <c r="BA25" s="25" t="str">
        <f t="shared" si="25"/>
        <v>INSERT INTO DC_ReaderDisplayProperties ([Tag],[Text],[X],[Y],[FontColor],[DisplayID],[ObjectID],[FontSize],[Width],[Height],[BackColor])</v>
      </c>
      <c r="BB25" s="25" t="str">
        <f t="shared" si="26"/>
        <v>VALUES (@TagID, 'Status Message', '8', '200', '-16777216', '0', '18', '0', '-1', '-1', '0')</v>
      </c>
      <c r="BC25" s="25" t="str">
        <f t="shared" si="27"/>
        <v>INSERT INTO DC_ReaderDisplayProperties ([Tag],[Text],[X],[Y],[FontColor],[DisplayID],[ObjectID],[FontSize],[Width],[Height],[BackColor])</v>
      </c>
      <c r="BD25" s="25" t="str">
        <f t="shared" si="28"/>
        <v>VALUES (@TagID, 'Josh Colby, Vibranium Member', '5', '3', '-16777216', '1', '2', '0', '-1', '-1', '0')</v>
      </c>
      <c r="BE25" s="25" t="str">
        <f t="shared" si="29"/>
        <v>INSERT INTO DC_ReaderDisplayProperties ([Tag],[Text],[X],[Y],[FontColor],[DisplayID],[ObjectID],[FontSize],[Width],[Height],[BackColor])</v>
      </c>
      <c r="BF25" s="25" t="str">
        <f t="shared" si="30"/>
        <v>VALUES (@TagID, 'Image', '28', '66', '-16777216', '1', '3', '0', '-1', '-1', '0')</v>
      </c>
      <c r="BG25" s="25" t="str">
        <f t="shared" si="31"/>
        <v>INSERT INTO DC_ReaderDisplayProperties ([Tag],[Text],[X],[Y],[FontColor],[DisplayID],[ObjectID],[FontSize],[Width],[Height],[BackColor])</v>
      </c>
      <c r="BH25" s="25" t="str">
        <f t="shared" si="32"/>
        <v>VALUES (@TagID, 'New Balance', '184', '76', '-16777216', '1', '4', '0', '-1', '-1', '0')</v>
      </c>
      <c r="BI25" s="6" t="str">
        <f t="shared" si="33"/>
        <v>INSERT INTO DC_ReaderDisplayProperties ([Tag],[Text],[X],[Y],[FontColor],[DisplayID],[ObjectID],[FontSize],[Width],[Height],[BackColor])</v>
      </c>
      <c r="BJ25" s="6" t="str">
        <f t="shared" si="34"/>
        <v>VALUES (@TagID, '$9999.00', '214', '134', '-16777216', '1', '5', '0', '-1', '-1', '0')</v>
      </c>
      <c r="BK25" s="6" t="str">
        <f t="shared" si="35"/>
        <v>INSERT INTO DC_ReaderDisplayProperties ([Tag],[Text],[X],[Y],[FontColor],[DisplayID],[ObjectID],[FontSize],[Width],[Height],[BackColor])</v>
      </c>
      <c r="BL25" s="6" t="str">
        <f t="shared" si="36"/>
        <v>VALUES (@TagID, 'Status Message', '16', '200', '-16777216', '1', '19', '0', '-1', '-1', '0')</v>
      </c>
      <c r="BM25" s="6" t="str">
        <f t="shared" si="37"/>
        <v>INSERT INTO DC_ReaderDisplayProperties ([Tag],[Text],[X],[Y],[FontColor],[DisplayID],[ObjectID],[FontSize],[Width],[Height],[BackColor])</v>
      </c>
      <c r="BN25" s="6" t="str">
        <f t="shared" si="38"/>
        <v>VALUES (@TagID, 'Happy Hour', '24', '16', '-16777216', '2', '6', '0', '-1', '-1', '0')</v>
      </c>
      <c r="BO25" s="6" t="str">
        <f t="shared" si="39"/>
        <v>INSERT INTO DC_ReaderDisplayProperties ([Tag],[Text],[X],[Y],[FontColor],[DisplayID],[ObjectID],[FontSize],[Width],[Height],[BackColor])</v>
      </c>
      <c r="BP25" s="6" t="str">
        <f t="shared" si="40"/>
        <v>VALUES (@TagID, '$99.99', '200', '80', '-16777216', '2', '8', '0', '-1', '-1', '0')</v>
      </c>
      <c r="BQ25" s="6" t="str">
        <f t="shared" si="41"/>
        <v>INSERT INTO DC_ReaderDisplayProperties ([Tag],[Text],[X],[Y],[FontColor],[DisplayID],[ObjectID],[FontSize],[Width],[Height],[BackColor])</v>
      </c>
      <c r="BR25" s="6" t="str">
        <f t="shared" si="42"/>
        <v>VALUES (@TagID, 'Status Message', '16', '200', '-16777216', '2', '20', '0', '-1', '-1', '0')</v>
      </c>
      <c r="BS25" s="6" t="str">
        <f t="shared" si="43"/>
        <v>INSERT INTO DC_ReaderDisplayProperties ([Tag],[Text],[X],[Y],[FontColor],[DisplayID],[ObjectID],[FontSize],[Width],[Height],[BackColor])</v>
      </c>
      <c r="BT25" s="6" t="str">
        <f t="shared" si="44"/>
        <v>VALUES (@TagID, '0000', '160', '152', '-16777216', '2', '21', '0', '-1', '-1', '0')</v>
      </c>
      <c r="BU25" s="6" t="str">
        <f t="shared" si="45"/>
        <v>INSERT INTO DC_ReaderDisplayProperties ([Tag],[Text],[X],[Y],[FontColor],[DisplayID],[ObjectID],[FontSize],[Width],[Height],[BackColor])</v>
      </c>
      <c r="BV25" s="6" t="str">
        <f t="shared" si="46"/>
        <v>VALUES (@TagID, 'Token', '24', '152', '-16777216', '2', '22', '0', '-1', '-1', '0')</v>
      </c>
      <c r="BW25" s="6" t="str">
        <f t="shared" si="47"/>
        <v>INSERT INTO DC_ReaderDisplayProperties ([Tag],[Text],[X],[Y],[FontColor],[DisplayID],[ObjectID],[FontSize],[Width],[Height],[BackColor])</v>
      </c>
      <c r="BX25" s="6" t="str">
        <f t="shared" si="48"/>
        <v>VALUES (@TagID, '000000', '54', '78', '-16777216', '3', '13', '2', '-1', '-1', '0')</v>
      </c>
    </row>
    <row r="26" spans="3:76" ht="21">
      <c r="C26" s="25">
        <v>16</v>
      </c>
      <c r="D26" s="50" t="s">
        <v>98</v>
      </c>
      <c r="E26" s="50" t="s">
        <v>112</v>
      </c>
      <c r="F26" s="51" t="s">
        <v>116</v>
      </c>
      <c r="M26" s="25" t="str">
        <f t="shared" si="49"/>
        <v>20</v>
      </c>
      <c r="N26" s="25" t="str">
        <f t="shared" si="50"/>
        <v>12</v>
      </c>
      <c r="O26" s="25" t="str">
        <f t="shared" si="51"/>
        <v>2</v>
      </c>
      <c r="P26" s="25" t="str">
        <f t="shared" si="52"/>
        <v>4</v>
      </c>
      <c r="Q26" s="25" t="str">
        <f t="shared" si="53"/>
        <v>yellow</v>
      </c>
      <c r="R26" s="25" t="str">
        <f t="shared" si="54"/>
        <v>False</v>
      </c>
      <c r="S26" s="25"/>
      <c r="T26" s="25" t="str">
        <f t="shared" si="55"/>
        <v>False</v>
      </c>
      <c r="AA26" s="25" t="str">
        <f t="shared" si="0"/>
        <v>INSERT INTO DC_OnlineDevices ([Description], [MAC_ID], [Device Type], [Location Code])</v>
      </c>
      <c r="AB26" s="25" t="str">
        <f t="shared" si="1"/>
        <v>VALUES ('Gemini Big USA ver', '408432322556', '100', '6');</v>
      </c>
      <c r="AD26" s="25" t="str">
        <f t="shared" si="2"/>
        <v>SET @TagID = SCOPE_IDENTITY();</v>
      </c>
      <c r="AE26" s="25" t="str">
        <f t="shared" si="3"/>
        <v xml:space="preserve">INSERT INTO DC_ArcadeGameDef  ([Tag], [Cash Play Price], [Game Group ID], [Game Sub Group ID], [Asset Tag], [Allow Time Play], [TimeBetweenPlays], [ConsecutivePlays], [PulsePauseWidth], [Device_Interface], [TicketPulseWidth], </v>
      </c>
      <c r="AF26" s="25" t="str">
        <f t="shared" si="4"/>
        <v xml:space="preserve">[ElecronitcTickets], [ActiveButtonCount], [Button1_Value], [Button2_Value], [Button3_Value], [Button1_Pulses], [Button2_Pulses], [Button3_Pulses], [Model], [eclipse_HappyHour], [eclipse_BaseColor], [GlowOption], [CoinPerPulse], </v>
      </c>
      <c r="AG26" s="25" t="str">
        <f t="shared" si="5"/>
        <v>[HopperTimeOut], [CreditCardEnable], [MercyPoints], [SupplementalBackgrounds])</v>
      </c>
      <c r="AH26" s="25" t="str">
        <f t="shared" si="6"/>
        <v>VALUES (@TagID, '2.0000', '20', '12', @TagID, 'False', '10', '3', '100', '2', '3', 'False', '0', '0.0000', '0.0000', '0.0000', '0', '0', '0', '3', '-1', '4', 'True', '1', '100', 'True', '0', 'False');</v>
      </c>
      <c r="AI26" s="25" t="str">
        <f t="shared" si="7"/>
        <v>INSERT INTO DC_ArcadeReaderImages ([Tag], [ID], [Background], [Foreground], [DisplaySettings])</v>
      </c>
      <c r="AJ26" s="25" t="str">
        <f t="shared" si="8"/>
        <v>VALUES (@TagID, '0', '-1', '-1', '1')</v>
      </c>
      <c r="AK26" s="25" t="str">
        <f t="shared" si="9"/>
        <v>INSERT INTO DC_ArcadeReaderImages ([Tag], [ID], [Background], [Foreground], [DisplaySettings])</v>
      </c>
      <c r="AL26" s="25" t="str">
        <f t="shared" si="10"/>
        <v>VALUES (@TagID, '1', '-1', '-1', '1')</v>
      </c>
      <c r="AM26" s="25" t="str">
        <f t="shared" si="11"/>
        <v>INSERT INTO DC_ArcadeReaderImages ([Tag], [ID], [Background], [Foreground], [DisplaySettings])</v>
      </c>
      <c r="AN26" s="25" t="str">
        <f t="shared" si="12"/>
        <v>VALUES (@TagID, '2', '-1', '-1', '1')</v>
      </c>
      <c r="AO26" s="25" t="str">
        <f t="shared" si="13"/>
        <v>INSERT INTO DC_ArcadeReaderImages ([Tag], [ID], [Background], [Foreground], [DisplaySettings])</v>
      </c>
      <c r="AP26" s="25" t="str">
        <f t="shared" si="14"/>
        <v>VALUES (@TagID, '3', '-1', '-1', '1')</v>
      </c>
      <c r="AQ26" s="25" t="str">
        <f t="shared" si="15"/>
        <v>INSERT INTO DC_ArcadeReaderImages ([Tag], [ID], [Background], [Foreground], [DisplaySettings])</v>
      </c>
      <c r="AR26" s="25" t="str">
        <f t="shared" si="16"/>
        <v>VALUES (@TagID, '4', '-1', '-1', '1')</v>
      </c>
      <c r="AS26" s="25" t="str">
        <f t="shared" si="17"/>
        <v>INSERT INTO DC_ReaderDisplayProperties ([Tag],[Text],[X],[Y],[FontColor],[DisplayID],[ObjectID],[FontSize],[Width],[Height],[BackColor])</v>
      </c>
      <c r="AT26" s="25" t="str">
        <f t="shared" si="18"/>
        <v>VALUES (@TagID, 'Play', '5', '3', '-16777216', '0', '0', '0', '-1', '-1', '0')</v>
      </c>
      <c r="AU26" s="25" t="str">
        <f t="shared" si="19"/>
        <v>INSERT INTO DC_ReaderDisplayProperties ([Tag],[Text],[X],[Y],[FontColor],[DisplayID],[ObjectID],[FontSize],[Width],[Height],[BackColor])</v>
      </c>
      <c r="AV26" s="25" t="str">
        <f t="shared" si="20"/>
        <v>VALUES (@TagID, '$0.00', '5', '104', '-16777216', '0', '1', '0', '-1', '-1', '0')</v>
      </c>
      <c r="AW26" s="25" t="str">
        <f t="shared" si="21"/>
        <v>INSERT INTO DC_ReaderDisplayProperties ([Tag],[Text],[X],[Y],[FontColor],[DisplayID],[ObjectID],[FontSize],[Width],[Height],[BackColor])</v>
      </c>
      <c r="AX26" s="25" t="str">
        <f t="shared" si="22"/>
        <v>VALUES (@TagID, 'Token', '208', '16', '-16777216', '0', '16', '0', '-1', '-1', '0')</v>
      </c>
      <c r="AY26" s="25" t="str">
        <f t="shared" si="23"/>
        <v>INSERT INTO DC_ReaderDisplayProperties ([Tag],[Text],[X],[Y],[FontColor],[DisplayID],[ObjectID],[FontSize],[Width],[Height],[BackColor])</v>
      </c>
      <c r="AZ26" s="25" t="str">
        <f t="shared" si="24"/>
        <v>VALUES (@TagID, '000000', '232', '56', '-16777216', '0', '17', '0', '-1', '-1', '0')</v>
      </c>
      <c r="BA26" s="25" t="str">
        <f t="shared" si="25"/>
        <v>INSERT INTO DC_ReaderDisplayProperties ([Tag],[Text],[X],[Y],[FontColor],[DisplayID],[ObjectID],[FontSize],[Width],[Height],[BackColor])</v>
      </c>
      <c r="BB26" s="25" t="str">
        <f t="shared" si="26"/>
        <v>VALUES (@TagID, 'Status Message', '8', '200', '-16777216', '0', '18', '0', '-1', '-1', '0')</v>
      </c>
      <c r="BC26" s="25" t="str">
        <f t="shared" si="27"/>
        <v>INSERT INTO DC_ReaderDisplayProperties ([Tag],[Text],[X],[Y],[FontColor],[DisplayID],[ObjectID],[FontSize],[Width],[Height],[BackColor])</v>
      </c>
      <c r="BD26" s="25" t="str">
        <f t="shared" si="28"/>
        <v>VALUES (@TagID, 'Josh Colby, Vibranium Member', '5', '3', '-16777216', '1', '2', '0', '-1', '-1', '0')</v>
      </c>
      <c r="BE26" s="25" t="str">
        <f t="shared" si="29"/>
        <v>INSERT INTO DC_ReaderDisplayProperties ([Tag],[Text],[X],[Y],[FontColor],[DisplayID],[ObjectID],[FontSize],[Width],[Height],[BackColor])</v>
      </c>
      <c r="BF26" s="25" t="str">
        <f t="shared" si="30"/>
        <v>VALUES (@TagID, 'Image', '28', '66', '-16777216', '1', '3', '0', '-1', '-1', '0')</v>
      </c>
      <c r="BG26" s="25" t="str">
        <f t="shared" si="31"/>
        <v>INSERT INTO DC_ReaderDisplayProperties ([Tag],[Text],[X],[Y],[FontColor],[DisplayID],[ObjectID],[FontSize],[Width],[Height],[BackColor])</v>
      </c>
      <c r="BH26" s="25" t="str">
        <f t="shared" si="32"/>
        <v>VALUES (@TagID, 'New Balance', '184', '76', '-16777216', '1', '4', '0', '-1', '-1', '0')</v>
      </c>
      <c r="BI26" s="6" t="str">
        <f t="shared" si="33"/>
        <v>INSERT INTO DC_ReaderDisplayProperties ([Tag],[Text],[X],[Y],[FontColor],[DisplayID],[ObjectID],[FontSize],[Width],[Height],[BackColor])</v>
      </c>
      <c r="BJ26" s="6" t="str">
        <f t="shared" si="34"/>
        <v>VALUES (@TagID, '$9999.00', '214', '134', '-16777216', '1', '5', '0', '-1', '-1', '0')</v>
      </c>
      <c r="BK26" s="6" t="str">
        <f t="shared" si="35"/>
        <v>INSERT INTO DC_ReaderDisplayProperties ([Tag],[Text],[X],[Y],[FontColor],[DisplayID],[ObjectID],[FontSize],[Width],[Height],[BackColor])</v>
      </c>
      <c r="BL26" s="6" t="str">
        <f t="shared" si="36"/>
        <v>VALUES (@TagID, 'Status Message', '16', '200', '-16777216', '1', '19', '0', '-1', '-1', '0')</v>
      </c>
      <c r="BM26" s="6" t="str">
        <f t="shared" si="37"/>
        <v>INSERT INTO DC_ReaderDisplayProperties ([Tag],[Text],[X],[Y],[FontColor],[DisplayID],[ObjectID],[FontSize],[Width],[Height],[BackColor])</v>
      </c>
      <c r="BN26" s="6" t="str">
        <f t="shared" si="38"/>
        <v>VALUES (@TagID, 'Happy Hour', '24', '16', '-16777216', '2', '6', '0', '-1', '-1', '0')</v>
      </c>
      <c r="BO26" s="6" t="str">
        <f t="shared" si="39"/>
        <v>INSERT INTO DC_ReaderDisplayProperties ([Tag],[Text],[X],[Y],[FontColor],[DisplayID],[ObjectID],[FontSize],[Width],[Height],[BackColor])</v>
      </c>
      <c r="BP26" s="6" t="str">
        <f t="shared" si="40"/>
        <v>VALUES (@TagID, '$99.99', '200', '80', '-16777216', '2', '8', '0', '-1', '-1', '0')</v>
      </c>
      <c r="BQ26" s="6" t="str">
        <f t="shared" si="41"/>
        <v>INSERT INTO DC_ReaderDisplayProperties ([Tag],[Text],[X],[Y],[FontColor],[DisplayID],[ObjectID],[FontSize],[Width],[Height],[BackColor])</v>
      </c>
      <c r="BR26" s="6" t="str">
        <f t="shared" si="42"/>
        <v>VALUES (@TagID, 'Status Message', '16', '200', '-16777216', '2', '20', '0', '-1', '-1', '0')</v>
      </c>
      <c r="BS26" s="6" t="str">
        <f t="shared" si="43"/>
        <v>INSERT INTO DC_ReaderDisplayProperties ([Tag],[Text],[X],[Y],[FontColor],[DisplayID],[ObjectID],[FontSize],[Width],[Height],[BackColor])</v>
      </c>
      <c r="BT26" s="6" t="str">
        <f t="shared" si="44"/>
        <v>VALUES (@TagID, '0000', '160', '152', '-16777216', '2', '21', '0', '-1', '-1', '0')</v>
      </c>
      <c r="BU26" s="6" t="str">
        <f t="shared" si="45"/>
        <v>INSERT INTO DC_ReaderDisplayProperties ([Tag],[Text],[X],[Y],[FontColor],[DisplayID],[ObjectID],[FontSize],[Width],[Height],[BackColor])</v>
      </c>
      <c r="BV26" s="6" t="str">
        <f t="shared" si="46"/>
        <v>VALUES (@TagID, 'Token', '24', '152', '-16777216', '2', '22', '0', '-1', '-1', '0')</v>
      </c>
      <c r="BW26" s="6" t="str">
        <f t="shared" si="47"/>
        <v>INSERT INTO DC_ReaderDisplayProperties ([Tag],[Text],[X],[Y],[FontColor],[DisplayID],[ObjectID],[FontSize],[Width],[Height],[BackColor])</v>
      </c>
      <c r="BX26" s="6" t="str">
        <f t="shared" si="48"/>
        <v>VALUES (@TagID, '000000', '54', '78', '-16777216', '3', '13', '2', '-1', '-1', '0')</v>
      </c>
    </row>
    <row r="27" spans="3:76" ht="21">
      <c r="C27" s="25">
        <v>17</v>
      </c>
      <c r="D27" s="50" t="s">
        <v>98</v>
      </c>
      <c r="E27" s="50" t="s">
        <v>113</v>
      </c>
      <c r="F27" s="51" t="s">
        <v>116</v>
      </c>
      <c r="M27" s="25" t="str">
        <f t="shared" si="49"/>
        <v>20</v>
      </c>
      <c r="N27" s="25" t="str">
        <f t="shared" si="50"/>
        <v>12</v>
      </c>
      <c r="O27" s="25" t="str">
        <f t="shared" si="51"/>
        <v>2</v>
      </c>
      <c r="P27" s="25" t="str">
        <f t="shared" si="52"/>
        <v>4</v>
      </c>
      <c r="Q27" s="25" t="str">
        <f t="shared" si="53"/>
        <v>yellow</v>
      </c>
      <c r="R27" s="25" t="str">
        <f t="shared" si="54"/>
        <v>False</v>
      </c>
      <c r="S27" s="25"/>
      <c r="T27" s="25" t="str">
        <f t="shared" si="55"/>
        <v>False</v>
      </c>
      <c r="AA27" s="25" t="str">
        <f t="shared" si="0"/>
        <v>INSERT INTO DC_OnlineDevices ([Description], [MAC_ID], [Device Type], [Location Code])</v>
      </c>
      <c r="AB27" s="25" t="str">
        <f t="shared" si="1"/>
        <v>VALUES ('Gemini Big USA ver', '40843231FEEF', '100', '6');</v>
      </c>
      <c r="AD27" s="25" t="str">
        <f t="shared" si="2"/>
        <v>SET @TagID = SCOPE_IDENTITY();</v>
      </c>
      <c r="AE27" s="25" t="str">
        <f t="shared" si="3"/>
        <v xml:space="preserve">INSERT INTO DC_ArcadeGameDef  ([Tag], [Cash Play Price], [Game Group ID], [Game Sub Group ID], [Asset Tag], [Allow Time Play], [TimeBetweenPlays], [ConsecutivePlays], [PulsePauseWidth], [Device_Interface], [TicketPulseWidth], </v>
      </c>
      <c r="AF27" s="25" t="str">
        <f t="shared" si="4"/>
        <v xml:space="preserve">[ElecronitcTickets], [ActiveButtonCount], [Button1_Value], [Button2_Value], [Button3_Value], [Button1_Pulses], [Button2_Pulses], [Button3_Pulses], [Model], [eclipse_HappyHour], [eclipse_BaseColor], [GlowOption], [CoinPerPulse], </v>
      </c>
      <c r="AG27" s="25" t="str">
        <f t="shared" si="5"/>
        <v>[HopperTimeOut], [CreditCardEnable], [MercyPoints], [SupplementalBackgrounds])</v>
      </c>
      <c r="AH27" s="25" t="str">
        <f t="shared" si="6"/>
        <v>VALUES (@TagID, '2.0000', '20', '12', @TagID, 'False', '10', '3', '100', '2', '3', 'False', '0', '0.0000', '0.0000', '0.0000', '0', '0', '0', '3', '-1', '4', 'True', '1', '100', 'True', '0', 'False');</v>
      </c>
      <c r="AI27" s="25" t="str">
        <f t="shared" si="7"/>
        <v>INSERT INTO DC_ArcadeReaderImages ([Tag], [ID], [Background], [Foreground], [DisplaySettings])</v>
      </c>
      <c r="AJ27" s="25" t="str">
        <f t="shared" si="8"/>
        <v>VALUES (@TagID, '0', '-1', '-1', '1')</v>
      </c>
      <c r="AK27" s="25" t="str">
        <f t="shared" si="9"/>
        <v>INSERT INTO DC_ArcadeReaderImages ([Tag], [ID], [Background], [Foreground], [DisplaySettings])</v>
      </c>
      <c r="AL27" s="25" t="str">
        <f t="shared" si="10"/>
        <v>VALUES (@TagID, '1', '-1', '-1', '1')</v>
      </c>
      <c r="AM27" s="25" t="str">
        <f t="shared" si="11"/>
        <v>INSERT INTO DC_ArcadeReaderImages ([Tag], [ID], [Background], [Foreground], [DisplaySettings])</v>
      </c>
      <c r="AN27" s="25" t="str">
        <f t="shared" si="12"/>
        <v>VALUES (@TagID, '2', '-1', '-1', '1')</v>
      </c>
      <c r="AO27" s="25" t="str">
        <f t="shared" si="13"/>
        <v>INSERT INTO DC_ArcadeReaderImages ([Tag], [ID], [Background], [Foreground], [DisplaySettings])</v>
      </c>
      <c r="AP27" s="25" t="str">
        <f t="shared" si="14"/>
        <v>VALUES (@TagID, '3', '-1', '-1', '1')</v>
      </c>
      <c r="AQ27" s="25" t="str">
        <f t="shared" si="15"/>
        <v>INSERT INTO DC_ArcadeReaderImages ([Tag], [ID], [Background], [Foreground], [DisplaySettings])</v>
      </c>
      <c r="AR27" s="25" t="str">
        <f t="shared" si="16"/>
        <v>VALUES (@TagID, '4', '-1', '-1', '1')</v>
      </c>
      <c r="AS27" s="25" t="str">
        <f t="shared" si="17"/>
        <v>INSERT INTO DC_ReaderDisplayProperties ([Tag],[Text],[X],[Y],[FontColor],[DisplayID],[ObjectID],[FontSize],[Width],[Height],[BackColor])</v>
      </c>
      <c r="AT27" s="25" t="str">
        <f t="shared" si="18"/>
        <v>VALUES (@TagID, 'Play', '5', '3', '-16777216', '0', '0', '0', '-1', '-1', '0')</v>
      </c>
      <c r="AU27" s="25" t="str">
        <f t="shared" si="19"/>
        <v>INSERT INTO DC_ReaderDisplayProperties ([Tag],[Text],[X],[Y],[FontColor],[DisplayID],[ObjectID],[FontSize],[Width],[Height],[BackColor])</v>
      </c>
      <c r="AV27" s="25" t="str">
        <f t="shared" si="20"/>
        <v>VALUES (@TagID, '$0.00', '5', '104', '-16777216', '0', '1', '0', '-1', '-1', '0')</v>
      </c>
      <c r="AW27" s="25" t="str">
        <f t="shared" si="21"/>
        <v>INSERT INTO DC_ReaderDisplayProperties ([Tag],[Text],[X],[Y],[FontColor],[DisplayID],[ObjectID],[FontSize],[Width],[Height],[BackColor])</v>
      </c>
      <c r="AX27" s="25" t="str">
        <f t="shared" si="22"/>
        <v>VALUES (@TagID, 'Token', '208', '16', '-16777216', '0', '16', '0', '-1', '-1', '0')</v>
      </c>
      <c r="AY27" s="25" t="str">
        <f t="shared" si="23"/>
        <v>INSERT INTO DC_ReaderDisplayProperties ([Tag],[Text],[X],[Y],[FontColor],[DisplayID],[ObjectID],[FontSize],[Width],[Height],[BackColor])</v>
      </c>
      <c r="AZ27" s="25" t="str">
        <f t="shared" si="24"/>
        <v>VALUES (@TagID, '000000', '232', '56', '-16777216', '0', '17', '0', '-1', '-1', '0')</v>
      </c>
      <c r="BA27" s="25" t="str">
        <f t="shared" si="25"/>
        <v>INSERT INTO DC_ReaderDisplayProperties ([Tag],[Text],[X],[Y],[FontColor],[DisplayID],[ObjectID],[FontSize],[Width],[Height],[BackColor])</v>
      </c>
      <c r="BB27" s="25" t="str">
        <f t="shared" si="26"/>
        <v>VALUES (@TagID, 'Status Message', '8', '200', '-16777216', '0', '18', '0', '-1', '-1', '0')</v>
      </c>
      <c r="BC27" s="25" t="str">
        <f t="shared" si="27"/>
        <v>INSERT INTO DC_ReaderDisplayProperties ([Tag],[Text],[X],[Y],[FontColor],[DisplayID],[ObjectID],[FontSize],[Width],[Height],[BackColor])</v>
      </c>
      <c r="BD27" s="25" t="str">
        <f t="shared" si="28"/>
        <v>VALUES (@TagID, 'Josh Colby, Vibranium Member', '5', '3', '-16777216', '1', '2', '0', '-1', '-1', '0')</v>
      </c>
      <c r="BE27" s="25" t="str">
        <f t="shared" si="29"/>
        <v>INSERT INTO DC_ReaderDisplayProperties ([Tag],[Text],[X],[Y],[FontColor],[DisplayID],[ObjectID],[FontSize],[Width],[Height],[BackColor])</v>
      </c>
      <c r="BF27" s="25" t="str">
        <f t="shared" si="30"/>
        <v>VALUES (@TagID, 'Image', '28', '66', '-16777216', '1', '3', '0', '-1', '-1', '0')</v>
      </c>
      <c r="BG27" s="25" t="str">
        <f t="shared" si="31"/>
        <v>INSERT INTO DC_ReaderDisplayProperties ([Tag],[Text],[X],[Y],[FontColor],[DisplayID],[ObjectID],[FontSize],[Width],[Height],[BackColor])</v>
      </c>
      <c r="BH27" s="25" t="str">
        <f t="shared" si="32"/>
        <v>VALUES (@TagID, 'New Balance', '184', '76', '-16777216', '1', '4', '0', '-1', '-1', '0')</v>
      </c>
      <c r="BI27" s="6" t="str">
        <f t="shared" si="33"/>
        <v>INSERT INTO DC_ReaderDisplayProperties ([Tag],[Text],[X],[Y],[FontColor],[DisplayID],[ObjectID],[FontSize],[Width],[Height],[BackColor])</v>
      </c>
      <c r="BJ27" s="6" t="str">
        <f t="shared" si="34"/>
        <v>VALUES (@TagID, '$9999.00', '214', '134', '-16777216', '1', '5', '0', '-1', '-1', '0')</v>
      </c>
      <c r="BK27" s="6" t="str">
        <f t="shared" si="35"/>
        <v>INSERT INTO DC_ReaderDisplayProperties ([Tag],[Text],[X],[Y],[FontColor],[DisplayID],[ObjectID],[FontSize],[Width],[Height],[BackColor])</v>
      </c>
      <c r="BL27" s="6" t="str">
        <f t="shared" si="36"/>
        <v>VALUES (@TagID, 'Status Message', '16', '200', '-16777216', '1', '19', '0', '-1', '-1', '0')</v>
      </c>
      <c r="BM27" s="6" t="str">
        <f t="shared" si="37"/>
        <v>INSERT INTO DC_ReaderDisplayProperties ([Tag],[Text],[X],[Y],[FontColor],[DisplayID],[ObjectID],[FontSize],[Width],[Height],[BackColor])</v>
      </c>
      <c r="BN27" s="6" t="str">
        <f t="shared" si="38"/>
        <v>VALUES (@TagID, 'Happy Hour', '24', '16', '-16777216', '2', '6', '0', '-1', '-1', '0')</v>
      </c>
      <c r="BO27" s="6" t="str">
        <f t="shared" si="39"/>
        <v>INSERT INTO DC_ReaderDisplayProperties ([Tag],[Text],[X],[Y],[FontColor],[DisplayID],[ObjectID],[FontSize],[Width],[Height],[BackColor])</v>
      </c>
      <c r="BP27" s="6" t="str">
        <f t="shared" si="40"/>
        <v>VALUES (@TagID, '$99.99', '200', '80', '-16777216', '2', '8', '0', '-1', '-1', '0')</v>
      </c>
      <c r="BQ27" s="6" t="str">
        <f t="shared" si="41"/>
        <v>INSERT INTO DC_ReaderDisplayProperties ([Tag],[Text],[X],[Y],[FontColor],[DisplayID],[ObjectID],[FontSize],[Width],[Height],[BackColor])</v>
      </c>
      <c r="BR27" s="6" t="str">
        <f t="shared" si="42"/>
        <v>VALUES (@TagID, 'Status Message', '16', '200', '-16777216', '2', '20', '0', '-1', '-1', '0')</v>
      </c>
      <c r="BS27" s="6" t="str">
        <f t="shared" si="43"/>
        <v>INSERT INTO DC_ReaderDisplayProperties ([Tag],[Text],[X],[Y],[FontColor],[DisplayID],[ObjectID],[FontSize],[Width],[Height],[BackColor])</v>
      </c>
      <c r="BT27" s="6" t="str">
        <f t="shared" si="44"/>
        <v>VALUES (@TagID, '0000', '160', '152', '-16777216', '2', '21', '0', '-1', '-1', '0')</v>
      </c>
      <c r="BU27" s="6" t="str">
        <f t="shared" si="45"/>
        <v>INSERT INTO DC_ReaderDisplayProperties ([Tag],[Text],[X],[Y],[FontColor],[DisplayID],[ObjectID],[FontSize],[Width],[Height],[BackColor])</v>
      </c>
      <c r="BV27" s="6" t="str">
        <f t="shared" si="46"/>
        <v>VALUES (@TagID, 'Token', '24', '152', '-16777216', '2', '22', '0', '-1', '-1', '0')</v>
      </c>
      <c r="BW27" s="6" t="str">
        <f t="shared" si="47"/>
        <v>INSERT INTO DC_ReaderDisplayProperties ([Tag],[Text],[X],[Y],[FontColor],[DisplayID],[ObjectID],[FontSize],[Width],[Height],[BackColor])</v>
      </c>
      <c r="BX27" s="6" t="str">
        <f t="shared" si="48"/>
        <v>VALUES (@TagID, '000000', '54', '78', '-16777216', '3', '13', '2', '-1', '-1', '0')</v>
      </c>
    </row>
    <row r="28" spans="3:76" ht="21">
      <c r="C28" s="25">
        <v>18</v>
      </c>
      <c r="D28" s="50" t="s">
        <v>98</v>
      </c>
      <c r="E28" s="50" t="s">
        <v>114</v>
      </c>
      <c r="F28" s="51" t="s">
        <v>116</v>
      </c>
      <c r="M28" s="25" t="str">
        <f t="shared" si="49"/>
        <v>20</v>
      </c>
      <c r="N28" s="25" t="str">
        <f t="shared" si="50"/>
        <v>12</v>
      </c>
      <c r="O28" s="25" t="str">
        <f t="shared" si="51"/>
        <v>2</v>
      </c>
      <c r="P28" s="25" t="str">
        <f t="shared" si="52"/>
        <v>4</v>
      </c>
      <c r="Q28" s="25" t="str">
        <f t="shared" si="53"/>
        <v>yellow</v>
      </c>
      <c r="R28" s="25" t="str">
        <f t="shared" si="54"/>
        <v>False</v>
      </c>
      <c r="S28" s="25"/>
      <c r="T28" s="25" t="str">
        <f t="shared" si="55"/>
        <v>False</v>
      </c>
      <c r="AA28" s="25" t="str">
        <f t="shared" si="0"/>
        <v>INSERT INTO DC_OnlineDevices ([Description], [MAC_ID], [Device Type], [Location Code])</v>
      </c>
      <c r="AB28" s="25" t="str">
        <f t="shared" si="1"/>
        <v>VALUES ('Gemini Big USA ver', '4084323234C7', '100', '6');</v>
      </c>
      <c r="AD28" s="25" t="str">
        <f t="shared" si="2"/>
        <v>SET @TagID = SCOPE_IDENTITY();</v>
      </c>
      <c r="AE28" s="25" t="str">
        <f t="shared" si="3"/>
        <v xml:space="preserve">INSERT INTO DC_ArcadeGameDef  ([Tag], [Cash Play Price], [Game Group ID], [Game Sub Group ID], [Asset Tag], [Allow Time Play], [TimeBetweenPlays], [ConsecutivePlays], [PulsePauseWidth], [Device_Interface], [TicketPulseWidth], </v>
      </c>
      <c r="AF28" s="25" t="str">
        <f t="shared" si="4"/>
        <v xml:space="preserve">[ElecronitcTickets], [ActiveButtonCount], [Button1_Value], [Button2_Value], [Button3_Value], [Button1_Pulses], [Button2_Pulses], [Button3_Pulses], [Model], [eclipse_HappyHour], [eclipse_BaseColor], [GlowOption], [CoinPerPulse], </v>
      </c>
      <c r="AG28" s="25" t="str">
        <f t="shared" si="5"/>
        <v>[HopperTimeOut], [CreditCardEnable], [MercyPoints], [SupplementalBackgrounds])</v>
      </c>
      <c r="AH28" s="25" t="str">
        <f t="shared" si="6"/>
        <v>VALUES (@TagID, '2.0000', '20', '12', @TagID, 'False', '10', '3', '100', '2', '3', 'False', '0', '0.0000', '0.0000', '0.0000', '0', '0', '0', '3', '-1', '4', 'True', '1', '100', 'True', '0', 'False');</v>
      </c>
      <c r="AI28" s="25" t="str">
        <f t="shared" si="7"/>
        <v>INSERT INTO DC_ArcadeReaderImages ([Tag], [ID], [Background], [Foreground], [DisplaySettings])</v>
      </c>
      <c r="AJ28" s="25" t="str">
        <f t="shared" si="8"/>
        <v>VALUES (@TagID, '0', '-1', '-1', '1')</v>
      </c>
      <c r="AK28" s="25" t="str">
        <f t="shared" si="9"/>
        <v>INSERT INTO DC_ArcadeReaderImages ([Tag], [ID], [Background], [Foreground], [DisplaySettings])</v>
      </c>
      <c r="AL28" s="25" t="str">
        <f t="shared" si="10"/>
        <v>VALUES (@TagID, '1', '-1', '-1', '1')</v>
      </c>
      <c r="AM28" s="25" t="str">
        <f t="shared" si="11"/>
        <v>INSERT INTO DC_ArcadeReaderImages ([Tag], [ID], [Background], [Foreground], [DisplaySettings])</v>
      </c>
      <c r="AN28" s="25" t="str">
        <f t="shared" si="12"/>
        <v>VALUES (@TagID, '2', '-1', '-1', '1')</v>
      </c>
      <c r="AO28" s="25" t="str">
        <f t="shared" si="13"/>
        <v>INSERT INTO DC_ArcadeReaderImages ([Tag], [ID], [Background], [Foreground], [DisplaySettings])</v>
      </c>
      <c r="AP28" s="25" t="str">
        <f t="shared" si="14"/>
        <v>VALUES (@TagID, '3', '-1', '-1', '1')</v>
      </c>
      <c r="AQ28" s="25" t="str">
        <f t="shared" si="15"/>
        <v>INSERT INTO DC_ArcadeReaderImages ([Tag], [ID], [Background], [Foreground], [DisplaySettings])</v>
      </c>
      <c r="AR28" s="25" t="str">
        <f t="shared" si="16"/>
        <v>VALUES (@TagID, '4', '-1', '-1', '1')</v>
      </c>
      <c r="AS28" s="25" t="str">
        <f t="shared" si="17"/>
        <v>INSERT INTO DC_ReaderDisplayProperties ([Tag],[Text],[X],[Y],[FontColor],[DisplayID],[ObjectID],[FontSize],[Width],[Height],[BackColor])</v>
      </c>
      <c r="AT28" s="25" t="str">
        <f t="shared" si="18"/>
        <v>VALUES (@TagID, 'Play', '5', '3', '-16777216', '0', '0', '0', '-1', '-1', '0')</v>
      </c>
      <c r="AU28" s="25" t="str">
        <f t="shared" si="19"/>
        <v>INSERT INTO DC_ReaderDisplayProperties ([Tag],[Text],[X],[Y],[FontColor],[DisplayID],[ObjectID],[FontSize],[Width],[Height],[BackColor])</v>
      </c>
      <c r="AV28" s="25" t="str">
        <f t="shared" si="20"/>
        <v>VALUES (@TagID, '$0.00', '5', '104', '-16777216', '0', '1', '0', '-1', '-1', '0')</v>
      </c>
      <c r="AW28" s="25" t="str">
        <f t="shared" si="21"/>
        <v>INSERT INTO DC_ReaderDisplayProperties ([Tag],[Text],[X],[Y],[FontColor],[DisplayID],[ObjectID],[FontSize],[Width],[Height],[BackColor])</v>
      </c>
      <c r="AX28" s="25" t="str">
        <f t="shared" si="22"/>
        <v>VALUES (@TagID, 'Token', '208', '16', '-16777216', '0', '16', '0', '-1', '-1', '0')</v>
      </c>
      <c r="AY28" s="25" t="str">
        <f t="shared" si="23"/>
        <v>INSERT INTO DC_ReaderDisplayProperties ([Tag],[Text],[X],[Y],[FontColor],[DisplayID],[ObjectID],[FontSize],[Width],[Height],[BackColor])</v>
      </c>
      <c r="AZ28" s="25" t="str">
        <f t="shared" si="24"/>
        <v>VALUES (@TagID, '000000', '232', '56', '-16777216', '0', '17', '0', '-1', '-1', '0')</v>
      </c>
      <c r="BA28" s="25" t="str">
        <f t="shared" si="25"/>
        <v>INSERT INTO DC_ReaderDisplayProperties ([Tag],[Text],[X],[Y],[FontColor],[DisplayID],[ObjectID],[FontSize],[Width],[Height],[BackColor])</v>
      </c>
      <c r="BB28" s="25" t="str">
        <f t="shared" si="26"/>
        <v>VALUES (@TagID, 'Status Message', '8', '200', '-16777216', '0', '18', '0', '-1', '-1', '0')</v>
      </c>
      <c r="BC28" s="25" t="str">
        <f t="shared" si="27"/>
        <v>INSERT INTO DC_ReaderDisplayProperties ([Tag],[Text],[X],[Y],[FontColor],[DisplayID],[ObjectID],[FontSize],[Width],[Height],[BackColor])</v>
      </c>
      <c r="BD28" s="25" t="str">
        <f t="shared" si="28"/>
        <v>VALUES (@TagID, 'Josh Colby, Vibranium Member', '5', '3', '-16777216', '1', '2', '0', '-1', '-1', '0')</v>
      </c>
      <c r="BE28" s="25" t="str">
        <f t="shared" si="29"/>
        <v>INSERT INTO DC_ReaderDisplayProperties ([Tag],[Text],[X],[Y],[FontColor],[DisplayID],[ObjectID],[FontSize],[Width],[Height],[BackColor])</v>
      </c>
      <c r="BF28" s="25" t="str">
        <f t="shared" si="30"/>
        <v>VALUES (@TagID, 'Image', '28', '66', '-16777216', '1', '3', '0', '-1', '-1', '0')</v>
      </c>
      <c r="BG28" s="25" t="str">
        <f t="shared" si="31"/>
        <v>INSERT INTO DC_ReaderDisplayProperties ([Tag],[Text],[X],[Y],[FontColor],[DisplayID],[ObjectID],[FontSize],[Width],[Height],[BackColor])</v>
      </c>
      <c r="BH28" s="25" t="str">
        <f t="shared" si="32"/>
        <v>VALUES (@TagID, 'New Balance', '184', '76', '-16777216', '1', '4', '0', '-1', '-1', '0')</v>
      </c>
      <c r="BI28" s="6" t="str">
        <f t="shared" si="33"/>
        <v>INSERT INTO DC_ReaderDisplayProperties ([Tag],[Text],[X],[Y],[FontColor],[DisplayID],[ObjectID],[FontSize],[Width],[Height],[BackColor])</v>
      </c>
      <c r="BJ28" s="6" t="str">
        <f t="shared" si="34"/>
        <v>VALUES (@TagID, '$9999.00', '214', '134', '-16777216', '1', '5', '0', '-1', '-1', '0')</v>
      </c>
      <c r="BK28" s="6" t="str">
        <f t="shared" si="35"/>
        <v>INSERT INTO DC_ReaderDisplayProperties ([Tag],[Text],[X],[Y],[FontColor],[DisplayID],[ObjectID],[FontSize],[Width],[Height],[BackColor])</v>
      </c>
      <c r="BL28" s="6" t="str">
        <f t="shared" si="36"/>
        <v>VALUES (@TagID, 'Status Message', '16', '200', '-16777216', '1', '19', '0', '-1', '-1', '0')</v>
      </c>
      <c r="BM28" s="6" t="str">
        <f t="shared" si="37"/>
        <v>INSERT INTO DC_ReaderDisplayProperties ([Tag],[Text],[X],[Y],[FontColor],[DisplayID],[ObjectID],[FontSize],[Width],[Height],[BackColor])</v>
      </c>
      <c r="BN28" s="6" t="str">
        <f t="shared" si="38"/>
        <v>VALUES (@TagID, 'Happy Hour', '24', '16', '-16777216', '2', '6', '0', '-1', '-1', '0')</v>
      </c>
      <c r="BO28" s="6" t="str">
        <f t="shared" si="39"/>
        <v>INSERT INTO DC_ReaderDisplayProperties ([Tag],[Text],[X],[Y],[FontColor],[DisplayID],[ObjectID],[FontSize],[Width],[Height],[BackColor])</v>
      </c>
      <c r="BP28" s="6" t="str">
        <f t="shared" si="40"/>
        <v>VALUES (@TagID, '$99.99', '200', '80', '-16777216', '2', '8', '0', '-1', '-1', '0')</v>
      </c>
      <c r="BQ28" s="6" t="str">
        <f t="shared" si="41"/>
        <v>INSERT INTO DC_ReaderDisplayProperties ([Tag],[Text],[X],[Y],[FontColor],[DisplayID],[ObjectID],[FontSize],[Width],[Height],[BackColor])</v>
      </c>
      <c r="BR28" s="6" t="str">
        <f t="shared" si="42"/>
        <v>VALUES (@TagID, 'Status Message', '16', '200', '-16777216', '2', '20', '0', '-1', '-1', '0')</v>
      </c>
      <c r="BS28" s="6" t="str">
        <f t="shared" si="43"/>
        <v>INSERT INTO DC_ReaderDisplayProperties ([Tag],[Text],[X],[Y],[FontColor],[DisplayID],[ObjectID],[FontSize],[Width],[Height],[BackColor])</v>
      </c>
      <c r="BT28" s="6" t="str">
        <f t="shared" si="44"/>
        <v>VALUES (@TagID, '0000', '160', '152', '-16777216', '2', '21', '0', '-1', '-1', '0')</v>
      </c>
      <c r="BU28" s="6" t="str">
        <f t="shared" si="45"/>
        <v>INSERT INTO DC_ReaderDisplayProperties ([Tag],[Text],[X],[Y],[FontColor],[DisplayID],[ObjectID],[FontSize],[Width],[Height],[BackColor])</v>
      </c>
      <c r="BV28" s="6" t="str">
        <f t="shared" si="46"/>
        <v>VALUES (@TagID, 'Token', '24', '152', '-16777216', '2', '22', '0', '-1', '-1', '0')</v>
      </c>
      <c r="BW28" s="6" t="str">
        <f t="shared" si="47"/>
        <v>INSERT INTO DC_ReaderDisplayProperties ([Tag],[Text],[X],[Y],[FontColor],[DisplayID],[ObjectID],[FontSize],[Width],[Height],[BackColor])</v>
      </c>
      <c r="BX28" s="6" t="str">
        <f t="shared" si="48"/>
        <v>VALUES (@TagID, '000000', '54', '78', '-16777216', '3', '13', '2', '-1', '-1', '0')</v>
      </c>
    </row>
    <row r="29" spans="3:76" ht="21">
      <c r="C29" s="25">
        <v>19</v>
      </c>
      <c r="D29" s="50" t="s">
        <v>98</v>
      </c>
      <c r="E29" s="50" t="s">
        <v>115</v>
      </c>
      <c r="F29" s="51" t="s">
        <v>117</v>
      </c>
      <c r="M29" s="25" t="str">
        <f t="shared" si="49"/>
        <v>18</v>
      </c>
      <c r="N29" s="25" t="str">
        <f t="shared" si="50"/>
        <v>10</v>
      </c>
      <c r="O29" s="25" t="str">
        <f t="shared" si="51"/>
        <v>0</v>
      </c>
      <c r="P29" s="25" t="str">
        <f t="shared" si="52"/>
        <v>1</v>
      </c>
      <c r="Q29" s="25" t="str">
        <f t="shared" si="53"/>
        <v>green</v>
      </c>
      <c r="R29" s="25" t="str">
        <f t="shared" si="54"/>
        <v>True</v>
      </c>
      <c r="S29" s="25"/>
      <c r="T29" s="25" t="str">
        <f t="shared" si="55"/>
        <v>False</v>
      </c>
      <c r="AA29" s="25" t="str">
        <f t="shared" si="0"/>
        <v>INSERT INTO DC_OnlineDevices ([Description], [MAC_ID], [Device Type], [Location Code])</v>
      </c>
      <c r="AB29" s="25" t="str">
        <f t="shared" si="1"/>
        <v>VALUES ('Gemini Big USA ver', '4084323223C9', '100', '6');</v>
      </c>
      <c r="AD29" s="25" t="str">
        <f t="shared" si="2"/>
        <v>SET @TagID = SCOPE_IDENTITY();</v>
      </c>
      <c r="AE29" s="25" t="str">
        <f t="shared" si="3"/>
        <v xml:space="preserve">INSERT INTO DC_ArcadeGameDef  ([Tag], [Cash Play Price], [Game Group ID], [Game Sub Group ID], [Asset Tag], [Allow Time Play], [TimeBetweenPlays], [ConsecutivePlays], [PulsePauseWidth], [Device_Interface], [TicketPulseWidth], </v>
      </c>
      <c r="AF29" s="25" t="str">
        <f t="shared" si="4"/>
        <v xml:space="preserve">[ElecronitcTickets], [ActiveButtonCount], [Button1_Value], [Button2_Value], [Button3_Value], [Button1_Pulses], [Button2_Pulses], [Button3_Pulses], [Model], [eclipse_HappyHour], [eclipse_BaseColor], [GlowOption], [CoinPerPulse], </v>
      </c>
      <c r="AG29" s="25" t="str">
        <f t="shared" si="5"/>
        <v>[HopperTimeOut], [CreditCardEnable], [MercyPoints], [SupplementalBackgrounds])</v>
      </c>
      <c r="AH29" s="25" t="str">
        <f t="shared" si="6"/>
        <v>VALUES (@TagID, '2.0000', '18', '10', @TagID, 'True', '10', '3', '100', '0', '3', 'False', '0', '0.0000', '0.0000', '0.0000', '0', '0', '0', '3', '-1', '1', 'True', '1', '100', 'True', '0', 'False');</v>
      </c>
      <c r="AI29" s="25" t="str">
        <f t="shared" si="7"/>
        <v>INSERT INTO DC_ArcadeReaderImages ([Tag], [ID], [Background], [Foreground], [DisplaySettings])</v>
      </c>
      <c r="AJ29" s="25" t="str">
        <f t="shared" si="8"/>
        <v>VALUES (@TagID, '0', '-1', '-1', '1')</v>
      </c>
      <c r="AK29" s="25" t="str">
        <f t="shared" si="9"/>
        <v>INSERT INTO DC_ArcadeReaderImages ([Tag], [ID], [Background], [Foreground], [DisplaySettings])</v>
      </c>
      <c r="AL29" s="25" t="str">
        <f t="shared" si="10"/>
        <v>VALUES (@TagID, '1', '-1', '-1', '1')</v>
      </c>
      <c r="AM29" s="25" t="str">
        <f t="shared" si="11"/>
        <v>INSERT INTO DC_ArcadeReaderImages ([Tag], [ID], [Background], [Foreground], [DisplaySettings])</v>
      </c>
      <c r="AN29" s="25" t="str">
        <f t="shared" si="12"/>
        <v>VALUES (@TagID, '2', '-1', '-1', '1')</v>
      </c>
      <c r="AO29" s="25" t="str">
        <f t="shared" si="13"/>
        <v>INSERT INTO DC_ArcadeReaderImages ([Tag], [ID], [Background], [Foreground], [DisplaySettings])</v>
      </c>
      <c r="AP29" s="25" t="str">
        <f t="shared" si="14"/>
        <v>VALUES (@TagID, '3', '-1', '-1', '1')</v>
      </c>
      <c r="AQ29" s="25" t="str">
        <f t="shared" si="15"/>
        <v>INSERT INTO DC_ArcadeReaderImages ([Tag], [ID], [Background], [Foreground], [DisplaySettings])</v>
      </c>
      <c r="AR29" s="25" t="str">
        <f t="shared" si="16"/>
        <v>VALUES (@TagID, '4', '-1', '-1', '1')</v>
      </c>
      <c r="AS29" s="25" t="str">
        <f t="shared" si="17"/>
        <v>INSERT INTO DC_ReaderDisplayProperties ([Tag],[Text],[X],[Y],[FontColor],[DisplayID],[ObjectID],[FontSize],[Width],[Height],[BackColor])</v>
      </c>
      <c r="AT29" s="25" t="str">
        <f t="shared" si="18"/>
        <v>VALUES (@TagID, 'Play', '5', '3', '-16777216', '0', '0', '0', '-1', '-1', '0')</v>
      </c>
      <c r="AU29" s="25" t="str">
        <f t="shared" si="19"/>
        <v>INSERT INTO DC_ReaderDisplayProperties ([Tag],[Text],[X],[Y],[FontColor],[DisplayID],[ObjectID],[FontSize],[Width],[Height],[BackColor])</v>
      </c>
      <c r="AV29" s="25" t="str">
        <f t="shared" si="20"/>
        <v>VALUES (@TagID, '$0.00', '5', '104', '-16777216', '0', '1', '0', '-1', '-1', '0')</v>
      </c>
      <c r="AW29" s="25" t="str">
        <f t="shared" si="21"/>
        <v>INSERT INTO DC_ReaderDisplayProperties ([Tag],[Text],[X],[Y],[FontColor],[DisplayID],[ObjectID],[FontSize],[Width],[Height],[BackColor])</v>
      </c>
      <c r="AX29" s="25" t="str">
        <f t="shared" si="22"/>
        <v>VALUES (@TagID, 'Token', '208', '16', '-16777216', '0', '16', '0', '-1', '-1', '0')</v>
      </c>
      <c r="AY29" s="25" t="str">
        <f t="shared" si="23"/>
        <v>INSERT INTO DC_ReaderDisplayProperties ([Tag],[Text],[X],[Y],[FontColor],[DisplayID],[ObjectID],[FontSize],[Width],[Height],[BackColor])</v>
      </c>
      <c r="AZ29" s="25" t="str">
        <f t="shared" si="24"/>
        <v>VALUES (@TagID, '000000', '232', '56', '-16777216', '0', '17', '0', '-1', '-1', '0')</v>
      </c>
      <c r="BA29" s="25" t="str">
        <f t="shared" si="25"/>
        <v>INSERT INTO DC_ReaderDisplayProperties ([Tag],[Text],[X],[Y],[FontColor],[DisplayID],[ObjectID],[FontSize],[Width],[Height],[BackColor])</v>
      </c>
      <c r="BB29" s="25" t="str">
        <f t="shared" si="26"/>
        <v>VALUES (@TagID, 'Status Message', '8', '200', '-16777216', '0', '18', '0', '-1', '-1', '0')</v>
      </c>
      <c r="BC29" s="25" t="str">
        <f t="shared" si="27"/>
        <v>INSERT INTO DC_ReaderDisplayProperties ([Tag],[Text],[X],[Y],[FontColor],[DisplayID],[ObjectID],[FontSize],[Width],[Height],[BackColor])</v>
      </c>
      <c r="BD29" s="25" t="str">
        <f t="shared" si="28"/>
        <v>VALUES (@TagID, 'Josh Colby, Vibranium Member', '5', '3', '-16777216', '1', '2', '0', '-1', '-1', '0')</v>
      </c>
      <c r="BE29" s="25" t="str">
        <f t="shared" si="29"/>
        <v>INSERT INTO DC_ReaderDisplayProperties ([Tag],[Text],[X],[Y],[FontColor],[DisplayID],[ObjectID],[FontSize],[Width],[Height],[BackColor])</v>
      </c>
      <c r="BF29" s="25" t="str">
        <f t="shared" si="30"/>
        <v>VALUES (@TagID, 'Image', '28', '66', '-16777216', '1', '3', '0', '-1', '-1', '0')</v>
      </c>
      <c r="BG29" s="25" t="str">
        <f t="shared" si="31"/>
        <v>INSERT INTO DC_ReaderDisplayProperties ([Tag],[Text],[X],[Y],[FontColor],[DisplayID],[ObjectID],[FontSize],[Width],[Height],[BackColor])</v>
      </c>
      <c r="BH29" s="25" t="str">
        <f t="shared" si="32"/>
        <v>VALUES (@TagID, 'New Balance', '184', '76', '-16777216', '1', '4', '0', '-1', '-1', '0')</v>
      </c>
      <c r="BI29" s="6" t="str">
        <f t="shared" si="33"/>
        <v>INSERT INTO DC_ReaderDisplayProperties ([Tag],[Text],[X],[Y],[FontColor],[DisplayID],[ObjectID],[FontSize],[Width],[Height],[BackColor])</v>
      </c>
      <c r="BJ29" s="6" t="str">
        <f t="shared" si="34"/>
        <v>VALUES (@TagID, '$9999.00', '214', '134', '-16777216', '1', '5', '0', '-1', '-1', '0')</v>
      </c>
      <c r="BK29" s="6" t="str">
        <f t="shared" si="35"/>
        <v>INSERT INTO DC_ReaderDisplayProperties ([Tag],[Text],[X],[Y],[FontColor],[DisplayID],[ObjectID],[FontSize],[Width],[Height],[BackColor])</v>
      </c>
      <c r="BL29" s="6" t="str">
        <f t="shared" si="36"/>
        <v>VALUES (@TagID, 'Status Message', '16', '200', '-16777216', '1', '19', '0', '-1', '-1', '0')</v>
      </c>
      <c r="BM29" s="6" t="str">
        <f t="shared" si="37"/>
        <v>INSERT INTO DC_ReaderDisplayProperties ([Tag],[Text],[X],[Y],[FontColor],[DisplayID],[ObjectID],[FontSize],[Width],[Height],[BackColor])</v>
      </c>
      <c r="BN29" s="6" t="str">
        <f t="shared" si="38"/>
        <v>VALUES (@TagID, 'Happy Hour', '24', '16', '-16777216', '2', '6', '0', '-1', '-1', '0')</v>
      </c>
      <c r="BO29" s="6" t="str">
        <f t="shared" si="39"/>
        <v>INSERT INTO DC_ReaderDisplayProperties ([Tag],[Text],[X],[Y],[FontColor],[DisplayID],[ObjectID],[FontSize],[Width],[Height],[BackColor])</v>
      </c>
      <c r="BP29" s="6" t="str">
        <f t="shared" si="40"/>
        <v>VALUES (@TagID, '$99.99', '200', '80', '-16777216', '2', '8', '0', '-1', '-1', '0')</v>
      </c>
      <c r="BQ29" s="6" t="str">
        <f t="shared" si="41"/>
        <v>INSERT INTO DC_ReaderDisplayProperties ([Tag],[Text],[X],[Y],[FontColor],[DisplayID],[ObjectID],[FontSize],[Width],[Height],[BackColor])</v>
      </c>
      <c r="BR29" s="6" t="str">
        <f t="shared" si="42"/>
        <v>VALUES (@TagID, 'Status Message', '16', '200', '-16777216', '2', '20', '0', '-1', '-1', '0')</v>
      </c>
      <c r="BS29" s="6" t="str">
        <f t="shared" si="43"/>
        <v>INSERT INTO DC_ReaderDisplayProperties ([Tag],[Text],[X],[Y],[FontColor],[DisplayID],[ObjectID],[FontSize],[Width],[Height],[BackColor])</v>
      </c>
      <c r="BT29" s="6" t="str">
        <f t="shared" si="44"/>
        <v>VALUES (@TagID, '0000', '160', '152', '-16777216', '2', '21', '0', '-1', '-1', '0')</v>
      </c>
      <c r="BU29" s="6" t="str">
        <f t="shared" si="45"/>
        <v>INSERT INTO DC_ReaderDisplayProperties ([Tag],[Text],[X],[Y],[FontColor],[DisplayID],[ObjectID],[FontSize],[Width],[Height],[BackColor])</v>
      </c>
      <c r="BV29" s="6" t="str">
        <f t="shared" si="46"/>
        <v>VALUES (@TagID, 'Token', '24', '152', '-16777216', '2', '22', '0', '-1', '-1', '0')</v>
      </c>
      <c r="BW29" s="6" t="str">
        <f t="shared" si="47"/>
        <v>INSERT INTO DC_ReaderDisplayProperties ([Tag],[Text],[X],[Y],[FontColor],[DisplayID],[ObjectID],[FontSize],[Width],[Height],[BackColor])</v>
      </c>
      <c r="BX29" s="6" t="str">
        <f t="shared" si="48"/>
        <v>VALUES (@TagID, '000000', '54', '78', '-16777216', '3', '13', '2', '-1', '-1', '0')</v>
      </c>
    </row>
    <row r="30" spans="3:76" ht="21">
      <c r="C30" s="25">
        <v>20</v>
      </c>
      <c r="D30" s="50"/>
      <c r="E30" s="50"/>
      <c r="F30" s="51" t="s">
        <v>8</v>
      </c>
      <c r="M30" s="25" t="str">
        <f t="shared" si="49"/>
        <v>19</v>
      </c>
      <c r="N30" s="25" t="str">
        <f t="shared" si="50"/>
        <v>11</v>
      </c>
      <c r="O30" s="25" t="str">
        <f t="shared" si="51"/>
        <v>1</v>
      </c>
      <c r="P30" s="25" t="str">
        <f t="shared" si="52"/>
        <v>4</v>
      </c>
      <c r="Q30" s="25" t="str">
        <f t="shared" si="53"/>
        <v>yellow</v>
      </c>
      <c r="R30" s="25" t="str">
        <f t="shared" si="54"/>
        <v>False</v>
      </c>
      <c r="S30" s="25"/>
      <c r="T30" s="25" t="str">
        <f t="shared" si="55"/>
        <v>True</v>
      </c>
      <c r="AA30" s="25" t="str">
        <f t="shared" si="0"/>
        <v/>
      </c>
      <c r="AB30" s="25" t="str">
        <f t="shared" si="1"/>
        <v/>
      </c>
      <c r="AD30" s="25" t="str">
        <f t="shared" si="2"/>
        <v/>
      </c>
      <c r="AE30" s="25" t="str">
        <f t="shared" si="3"/>
        <v/>
      </c>
      <c r="AF30" s="25" t="str">
        <f t="shared" si="4"/>
        <v/>
      </c>
      <c r="AG30" s="25" t="str">
        <f t="shared" si="5"/>
        <v/>
      </c>
      <c r="AH30" s="25" t="str">
        <f t="shared" si="6"/>
        <v/>
      </c>
      <c r="AI30" s="25" t="str">
        <f t="shared" si="7"/>
        <v/>
      </c>
      <c r="AJ30" s="25" t="str">
        <f t="shared" si="8"/>
        <v/>
      </c>
      <c r="AK30" s="25" t="str">
        <f t="shared" si="9"/>
        <v/>
      </c>
      <c r="AL30" s="25" t="str">
        <f t="shared" si="10"/>
        <v/>
      </c>
      <c r="AM30" s="25" t="str">
        <f t="shared" si="11"/>
        <v/>
      </c>
      <c r="AN30" s="25" t="str">
        <f t="shared" si="12"/>
        <v/>
      </c>
      <c r="AO30" s="25" t="str">
        <f t="shared" si="13"/>
        <v/>
      </c>
      <c r="AP30" s="25" t="str">
        <f t="shared" si="14"/>
        <v/>
      </c>
      <c r="AQ30" s="25" t="str">
        <f t="shared" si="15"/>
        <v/>
      </c>
      <c r="AR30" s="25" t="str">
        <f t="shared" si="16"/>
        <v/>
      </c>
      <c r="AS30" s="25" t="str">
        <f t="shared" si="17"/>
        <v/>
      </c>
      <c r="AT30" s="25" t="str">
        <f t="shared" si="18"/>
        <v/>
      </c>
      <c r="AU30" s="25" t="str">
        <f t="shared" si="19"/>
        <v/>
      </c>
      <c r="AV30" s="25" t="str">
        <f t="shared" si="20"/>
        <v/>
      </c>
      <c r="AW30" s="25" t="str">
        <f t="shared" si="21"/>
        <v/>
      </c>
      <c r="AX30" s="25" t="str">
        <f t="shared" si="22"/>
        <v/>
      </c>
      <c r="AY30" s="25" t="str">
        <f t="shared" si="23"/>
        <v/>
      </c>
      <c r="AZ30" s="25" t="str">
        <f t="shared" si="24"/>
        <v/>
      </c>
      <c r="BA30" s="25" t="str">
        <f t="shared" si="25"/>
        <v/>
      </c>
      <c r="BB30" s="25" t="str">
        <f t="shared" si="26"/>
        <v/>
      </c>
      <c r="BC30" s="25" t="str">
        <f t="shared" si="27"/>
        <v/>
      </c>
      <c r="BD30" s="25" t="str">
        <f t="shared" si="28"/>
        <v/>
      </c>
      <c r="BE30" s="25" t="str">
        <f t="shared" si="29"/>
        <v/>
      </c>
      <c r="BF30" s="25" t="str">
        <f t="shared" si="30"/>
        <v/>
      </c>
      <c r="BG30" s="25" t="str">
        <f t="shared" si="31"/>
        <v/>
      </c>
      <c r="BH30" s="25" t="str">
        <f t="shared" si="32"/>
        <v/>
      </c>
      <c r="BI30" s="6" t="str">
        <f t="shared" si="33"/>
        <v/>
      </c>
      <c r="BJ30" s="6" t="str">
        <f t="shared" si="34"/>
        <v/>
      </c>
      <c r="BK30" s="6" t="str">
        <f t="shared" si="35"/>
        <v/>
      </c>
      <c r="BL30" s="6" t="str">
        <f t="shared" si="36"/>
        <v/>
      </c>
      <c r="BM30" s="6" t="str">
        <f t="shared" si="37"/>
        <v/>
      </c>
      <c r="BN30" s="6" t="str">
        <f t="shared" si="38"/>
        <v/>
      </c>
      <c r="BO30" s="6" t="str">
        <f t="shared" si="39"/>
        <v/>
      </c>
      <c r="BP30" s="6" t="str">
        <f t="shared" si="40"/>
        <v/>
      </c>
      <c r="BQ30" s="6" t="str">
        <f t="shared" si="41"/>
        <v/>
      </c>
      <c r="BR30" s="6" t="str">
        <f t="shared" si="42"/>
        <v/>
      </c>
      <c r="BS30" s="6" t="str">
        <f t="shared" si="43"/>
        <v/>
      </c>
      <c r="BT30" s="6" t="str">
        <f t="shared" si="44"/>
        <v/>
      </c>
      <c r="BU30" s="6" t="str">
        <f t="shared" si="45"/>
        <v/>
      </c>
      <c r="BV30" s="6" t="str">
        <f t="shared" si="46"/>
        <v/>
      </c>
      <c r="BW30" s="6" t="str">
        <f t="shared" si="47"/>
        <v/>
      </c>
      <c r="BX30" s="6" t="str">
        <f t="shared" si="48"/>
        <v/>
      </c>
    </row>
    <row r="31" spans="3:76" ht="21">
      <c r="C31" s="25">
        <v>21</v>
      </c>
      <c r="D31" s="50"/>
      <c r="E31" s="50"/>
      <c r="F31" s="51" t="s">
        <v>8</v>
      </c>
      <c r="M31" s="25" t="str">
        <f t="shared" si="49"/>
        <v>19</v>
      </c>
      <c r="N31" s="25" t="str">
        <f t="shared" si="50"/>
        <v>11</v>
      </c>
      <c r="O31" s="25" t="str">
        <f t="shared" si="51"/>
        <v>1</v>
      </c>
      <c r="P31" s="25" t="str">
        <f t="shared" si="52"/>
        <v>4</v>
      </c>
      <c r="Q31" s="25" t="str">
        <f t="shared" si="53"/>
        <v>yellow</v>
      </c>
      <c r="R31" s="25" t="str">
        <f t="shared" si="54"/>
        <v>False</v>
      </c>
      <c r="S31" s="25"/>
      <c r="T31" s="25" t="str">
        <f t="shared" si="55"/>
        <v>True</v>
      </c>
      <c r="AA31" s="25" t="str">
        <f t="shared" si="0"/>
        <v/>
      </c>
      <c r="AB31" s="25" t="str">
        <f t="shared" si="1"/>
        <v/>
      </c>
      <c r="AD31" s="25" t="str">
        <f t="shared" si="2"/>
        <v/>
      </c>
      <c r="AE31" s="25" t="str">
        <f t="shared" si="3"/>
        <v/>
      </c>
      <c r="AF31" s="25" t="str">
        <f t="shared" si="4"/>
        <v/>
      </c>
      <c r="AG31" s="25" t="str">
        <f t="shared" si="5"/>
        <v/>
      </c>
      <c r="AH31" s="25" t="str">
        <f t="shared" si="6"/>
        <v/>
      </c>
      <c r="AI31" s="25" t="str">
        <f t="shared" si="7"/>
        <v/>
      </c>
      <c r="AJ31" s="25" t="str">
        <f t="shared" si="8"/>
        <v/>
      </c>
      <c r="AK31" s="25" t="str">
        <f t="shared" si="9"/>
        <v/>
      </c>
      <c r="AL31" s="25" t="str">
        <f t="shared" si="10"/>
        <v/>
      </c>
      <c r="AM31" s="25" t="str">
        <f t="shared" si="11"/>
        <v/>
      </c>
      <c r="AN31" s="25" t="str">
        <f t="shared" si="12"/>
        <v/>
      </c>
      <c r="AO31" s="25" t="str">
        <f t="shared" si="13"/>
        <v/>
      </c>
      <c r="AP31" s="25" t="str">
        <f t="shared" si="14"/>
        <v/>
      </c>
      <c r="AQ31" s="25" t="str">
        <f t="shared" si="15"/>
        <v/>
      </c>
      <c r="AR31" s="25" t="str">
        <f t="shared" si="16"/>
        <v/>
      </c>
      <c r="AS31" s="25" t="str">
        <f t="shared" si="17"/>
        <v/>
      </c>
      <c r="AT31" s="25" t="str">
        <f t="shared" si="18"/>
        <v/>
      </c>
      <c r="AU31" s="25" t="str">
        <f t="shared" si="19"/>
        <v/>
      </c>
      <c r="AV31" s="25" t="str">
        <f t="shared" si="20"/>
        <v/>
      </c>
      <c r="AW31" s="25" t="str">
        <f t="shared" si="21"/>
        <v/>
      </c>
      <c r="AX31" s="25" t="str">
        <f t="shared" si="22"/>
        <v/>
      </c>
      <c r="AY31" s="25" t="str">
        <f t="shared" si="23"/>
        <v/>
      </c>
      <c r="AZ31" s="25" t="str">
        <f t="shared" si="24"/>
        <v/>
      </c>
      <c r="BA31" s="25" t="str">
        <f t="shared" si="25"/>
        <v/>
      </c>
      <c r="BB31" s="25" t="str">
        <f t="shared" si="26"/>
        <v/>
      </c>
      <c r="BC31" s="25" t="str">
        <f t="shared" si="27"/>
        <v/>
      </c>
      <c r="BD31" s="25" t="str">
        <f t="shared" si="28"/>
        <v/>
      </c>
      <c r="BE31" s="25" t="str">
        <f t="shared" si="29"/>
        <v/>
      </c>
      <c r="BF31" s="25" t="str">
        <f t="shared" si="30"/>
        <v/>
      </c>
      <c r="BG31" s="25" t="str">
        <f t="shared" si="31"/>
        <v/>
      </c>
      <c r="BH31" s="25" t="str">
        <f t="shared" si="32"/>
        <v/>
      </c>
      <c r="BI31" s="6" t="str">
        <f t="shared" si="33"/>
        <v/>
      </c>
      <c r="BJ31" s="6" t="str">
        <f t="shared" si="34"/>
        <v/>
      </c>
      <c r="BK31" s="6" t="str">
        <f t="shared" si="35"/>
        <v/>
      </c>
      <c r="BL31" s="6" t="str">
        <f t="shared" si="36"/>
        <v/>
      </c>
      <c r="BM31" s="6" t="str">
        <f t="shared" si="37"/>
        <v/>
      </c>
      <c r="BN31" s="6" t="str">
        <f t="shared" si="38"/>
        <v/>
      </c>
      <c r="BO31" s="6" t="str">
        <f t="shared" si="39"/>
        <v/>
      </c>
      <c r="BP31" s="6" t="str">
        <f t="shared" si="40"/>
        <v/>
      </c>
      <c r="BQ31" s="6" t="str">
        <f t="shared" si="41"/>
        <v/>
      </c>
      <c r="BR31" s="6" t="str">
        <f t="shared" si="42"/>
        <v/>
      </c>
      <c r="BS31" s="6" t="str">
        <f t="shared" si="43"/>
        <v/>
      </c>
      <c r="BT31" s="6" t="str">
        <f t="shared" si="44"/>
        <v/>
      </c>
      <c r="BU31" s="6" t="str">
        <f t="shared" si="45"/>
        <v/>
      </c>
      <c r="BV31" s="6" t="str">
        <f t="shared" si="46"/>
        <v/>
      </c>
      <c r="BW31" s="6" t="str">
        <f t="shared" si="47"/>
        <v/>
      </c>
      <c r="BX31" s="6" t="str">
        <f t="shared" si="48"/>
        <v/>
      </c>
    </row>
    <row r="32" spans="3:76" ht="21">
      <c r="C32" s="25">
        <v>22</v>
      </c>
      <c r="D32" s="50"/>
      <c r="E32" s="50"/>
      <c r="F32" s="51" t="s">
        <v>8</v>
      </c>
      <c r="M32" s="25" t="str">
        <f t="shared" si="49"/>
        <v>19</v>
      </c>
      <c r="N32" s="25" t="str">
        <f t="shared" si="50"/>
        <v>11</v>
      </c>
      <c r="O32" s="25" t="str">
        <f t="shared" si="51"/>
        <v>1</v>
      </c>
      <c r="P32" s="25" t="str">
        <f t="shared" si="52"/>
        <v>4</v>
      </c>
      <c r="Q32" s="25" t="str">
        <f t="shared" si="53"/>
        <v>yellow</v>
      </c>
      <c r="R32" s="25" t="str">
        <f t="shared" si="54"/>
        <v>False</v>
      </c>
      <c r="S32" s="25"/>
      <c r="T32" s="25" t="str">
        <f t="shared" si="55"/>
        <v>True</v>
      </c>
      <c r="AA32" s="25" t="str">
        <f t="shared" si="0"/>
        <v/>
      </c>
      <c r="AB32" s="25" t="str">
        <f t="shared" si="1"/>
        <v/>
      </c>
      <c r="AD32" s="25" t="str">
        <f t="shared" si="2"/>
        <v/>
      </c>
      <c r="AE32" s="25" t="str">
        <f t="shared" si="3"/>
        <v/>
      </c>
      <c r="AF32" s="25" t="str">
        <f t="shared" si="4"/>
        <v/>
      </c>
      <c r="AG32" s="25" t="str">
        <f t="shared" si="5"/>
        <v/>
      </c>
      <c r="AH32" s="25" t="str">
        <f t="shared" si="6"/>
        <v/>
      </c>
      <c r="AI32" s="25" t="str">
        <f t="shared" si="7"/>
        <v/>
      </c>
      <c r="AJ32" s="25" t="str">
        <f t="shared" si="8"/>
        <v/>
      </c>
      <c r="AK32" s="25" t="str">
        <f t="shared" si="9"/>
        <v/>
      </c>
      <c r="AL32" s="25" t="str">
        <f t="shared" si="10"/>
        <v/>
      </c>
      <c r="AM32" s="25" t="str">
        <f t="shared" si="11"/>
        <v/>
      </c>
      <c r="AN32" s="25" t="str">
        <f t="shared" si="12"/>
        <v/>
      </c>
      <c r="AO32" s="25" t="str">
        <f t="shared" si="13"/>
        <v/>
      </c>
      <c r="AP32" s="25" t="str">
        <f t="shared" si="14"/>
        <v/>
      </c>
      <c r="AQ32" s="25" t="str">
        <f t="shared" si="15"/>
        <v/>
      </c>
      <c r="AR32" s="25" t="str">
        <f t="shared" si="16"/>
        <v/>
      </c>
      <c r="AS32" s="25" t="str">
        <f t="shared" si="17"/>
        <v/>
      </c>
      <c r="AT32" s="25" t="str">
        <f t="shared" si="18"/>
        <v/>
      </c>
      <c r="AU32" s="25" t="str">
        <f t="shared" si="19"/>
        <v/>
      </c>
      <c r="AV32" s="25" t="str">
        <f t="shared" si="20"/>
        <v/>
      </c>
      <c r="AW32" s="25" t="str">
        <f t="shared" si="21"/>
        <v/>
      </c>
      <c r="AX32" s="25" t="str">
        <f t="shared" si="22"/>
        <v/>
      </c>
      <c r="AY32" s="25" t="str">
        <f t="shared" si="23"/>
        <v/>
      </c>
      <c r="AZ32" s="25" t="str">
        <f t="shared" si="24"/>
        <v/>
      </c>
      <c r="BA32" s="25" t="str">
        <f t="shared" si="25"/>
        <v/>
      </c>
      <c r="BB32" s="25" t="str">
        <f t="shared" si="26"/>
        <v/>
      </c>
      <c r="BC32" s="25" t="str">
        <f t="shared" si="27"/>
        <v/>
      </c>
      <c r="BD32" s="25" t="str">
        <f t="shared" si="28"/>
        <v/>
      </c>
      <c r="BE32" s="25" t="str">
        <f t="shared" si="29"/>
        <v/>
      </c>
      <c r="BF32" s="25" t="str">
        <f t="shared" si="30"/>
        <v/>
      </c>
      <c r="BG32" s="25" t="str">
        <f t="shared" si="31"/>
        <v/>
      </c>
      <c r="BH32" s="25" t="str">
        <f t="shared" si="32"/>
        <v/>
      </c>
      <c r="BI32" s="6" t="str">
        <f t="shared" si="33"/>
        <v/>
      </c>
      <c r="BJ32" s="6" t="str">
        <f t="shared" si="34"/>
        <v/>
      </c>
      <c r="BK32" s="6" t="str">
        <f t="shared" si="35"/>
        <v/>
      </c>
      <c r="BL32" s="6" t="str">
        <f t="shared" si="36"/>
        <v/>
      </c>
      <c r="BM32" s="6" t="str">
        <f t="shared" si="37"/>
        <v/>
      </c>
      <c r="BN32" s="6" t="str">
        <f t="shared" si="38"/>
        <v/>
      </c>
      <c r="BO32" s="6" t="str">
        <f t="shared" si="39"/>
        <v/>
      </c>
      <c r="BP32" s="6" t="str">
        <f t="shared" si="40"/>
        <v/>
      </c>
      <c r="BQ32" s="6" t="str">
        <f t="shared" si="41"/>
        <v/>
      </c>
      <c r="BR32" s="6" t="str">
        <f t="shared" si="42"/>
        <v/>
      </c>
      <c r="BS32" s="6" t="str">
        <f t="shared" si="43"/>
        <v/>
      </c>
      <c r="BT32" s="6" t="str">
        <f t="shared" si="44"/>
        <v/>
      </c>
      <c r="BU32" s="6" t="str">
        <f t="shared" si="45"/>
        <v/>
      </c>
      <c r="BV32" s="6" t="str">
        <f t="shared" si="46"/>
        <v/>
      </c>
      <c r="BW32" s="6" t="str">
        <f t="shared" si="47"/>
        <v/>
      </c>
      <c r="BX32" s="6" t="str">
        <f t="shared" si="48"/>
        <v/>
      </c>
    </row>
    <row r="33" spans="3:76" ht="21">
      <c r="C33" s="25">
        <v>23</v>
      </c>
      <c r="D33" s="50"/>
      <c r="E33" s="50"/>
      <c r="F33" s="51" t="s">
        <v>8</v>
      </c>
      <c r="M33" s="25" t="str">
        <f t="shared" si="49"/>
        <v>19</v>
      </c>
      <c r="N33" s="25" t="str">
        <f t="shared" si="50"/>
        <v>11</v>
      </c>
      <c r="O33" s="25" t="str">
        <f t="shared" si="51"/>
        <v>1</v>
      </c>
      <c r="P33" s="25" t="str">
        <f t="shared" si="52"/>
        <v>4</v>
      </c>
      <c r="Q33" s="25" t="str">
        <f t="shared" si="53"/>
        <v>yellow</v>
      </c>
      <c r="R33" s="25" t="str">
        <f t="shared" si="54"/>
        <v>False</v>
      </c>
      <c r="S33" s="25"/>
      <c r="T33" s="25" t="str">
        <f t="shared" si="55"/>
        <v>True</v>
      </c>
      <c r="AA33" s="25" t="str">
        <f t="shared" si="0"/>
        <v/>
      </c>
      <c r="AB33" s="25" t="str">
        <f t="shared" si="1"/>
        <v/>
      </c>
      <c r="AD33" s="25" t="str">
        <f t="shared" si="2"/>
        <v/>
      </c>
      <c r="AE33" s="25" t="str">
        <f t="shared" si="3"/>
        <v/>
      </c>
      <c r="AF33" s="25" t="str">
        <f t="shared" si="4"/>
        <v/>
      </c>
      <c r="AG33" s="25" t="str">
        <f t="shared" si="5"/>
        <v/>
      </c>
      <c r="AH33" s="25" t="str">
        <f t="shared" si="6"/>
        <v/>
      </c>
      <c r="AI33" s="25" t="str">
        <f t="shared" si="7"/>
        <v/>
      </c>
      <c r="AJ33" s="25" t="str">
        <f t="shared" si="8"/>
        <v/>
      </c>
      <c r="AK33" s="25" t="str">
        <f t="shared" si="9"/>
        <v/>
      </c>
      <c r="AL33" s="25" t="str">
        <f t="shared" si="10"/>
        <v/>
      </c>
      <c r="AM33" s="25" t="str">
        <f t="shared" si="11"/>
        <v/>
      </c>
      <c r="AN33" s="25" t="str">
        <f t="shared" si="12"/>
        <v/>
      </c>
      <c r="AO33" s="25" t="str">
        <f t="shared" si="13"/>
        <v/>
      </c>
      <c r="AP33" s="25" t="str">
        <f t="shared" si="14"/>
        <v/>
      </c>
      <c r="AQ33" s="25" t="str">
        <f t="shared" si="15"/>
        <v/>
      </c>
      <c r="AR33" s="25" t="str">
        <f t="shared" si="16"/>
        <v/>
      </c>
      <c r="AS33" s="25" t="str">
        <f t="shared" si="17"/>
        <v/>
      </c>
      <c r="AT33" s="25" t="str">
        <f t="shared" si="18"/>
        <v/>
      </c>
      <c r="AU33" s="25" t="str">
        <f t="shared" si="19"/>
        <v/>
      </c>
      <c r="AV33" s="25" t="str">
        <f t="shared" si="20"/>
        <v/>
      </c>
      <c r="AW33" s="25" t="str">
        <f t="shared" si="21"/>
        <v/>
      </c>
      <c r="AX33" s="25" t="str">
        <f t="shared" si="22"/>
        <v/>
      </c>
      <c r="AY33" s="25" t="str">
        <f t="shared" si="23"/>
        <v/>
      </c>
      <c r="AZ33" s="25" t="str">
        <f t="shared" si="24"/>
        <v/>
      </c>
      <c r="BA33" s="25" t="str">
        <f t="shared" si="25"/>
        <v/>
      </c>
      <c r="BB33" s="25" t="str">
        <f t="shared" si="26"/>
        <v/>
      </c>
      <c r="BC33" s="25" t="str">
        <f t="shared" si="27"/>
        <v/>
      </c>
      <c r="BD33" s="25" t="str">
        <f t="shared" si="28"/>
        <v/>
      </c>
      <c r="BE33" s="25" t="str">
        <f t="shared" si="29"/>
        <v/>
      </c>
      <c r="BF33" s="25" t="str">
        <f t="shared" si="30"/>
        <v/>
      </c>
      <c r="BG33" s="25" t="str">
        <f t="shared" si="31"/>
        <v/>
      </c>
      <c r="BH33" s="25" t="str">
        <f t="shared" si="32"/>
        <v/>
      </c>
      <c r="BI33" s="6" t="str">
        <f t="shared" si="33"/>
        <v/>
      </c>
      <c r="BJ33" s="6" t="str">
        <f t="shared" si="34"/>
        <v/>
      </c>
      <c r="BK33" s="6" t="str">
        <f t="shared" si="35"/>
        <v/>
      </c>
      <c r="BL33" s="6" t="str">
        <f t="shared" si="36"/>
        <v/>
      </c>
      <c r="BM33" s="6" t="str">
        <f t="shared" si="37"/>
        <v/>
      </c>
      <c r="BN33" s="6" t="str">
        <f t="shared" si="38"/>
        <v/>
      </c>
      <c r="BO33" s="6" t="str">
        <f t="shared" si="39"/>
        <v/>
      </c>
      <c r="BP33" s="6" t="str">
        <f t="shared" si="40"/>
        <v/>
      </c>
      <c r="BQ33" s="6" t="str">
        <f t="shared" si="41"/>
        <v/>
      </c>
      <c r="BR33" s="6" t="str">
        <f t="shared" si="42"/>
        <v/>
      </c>
      <c r="BS33" s="6" t="str">
        <f t="shared" si="43"/>
        <v/>
      </c>
      <c r="BT33" s="6" t="str">
        <f t="shared" si="44"/>
        <v/>
      </c>
      <c r="BU33" s="6" t="str">
        <f t="shared" si="45"/>
        <v/>
      </c>
      <c r="BV33" s="6" t="str">
        <f t="shared" si="46"/>
        <v/>
      </c>
      <c r="BW33" s="6" t="str">
        <f t="shared" si="47"/>
        <v/>
      </c>
      <c r="BX33" s="6" t="str">
        <f t="shared" si="48"/>
        <v/>
      </c>
    </row>
    <row r="34" spans="3:76" ht="21">
      <c r="C34" s="25">
        <v>24</v>
      </c>
      <c r="D34" s="50"/>
      <c r="E34" s="50"/>
      <c r="F34" s="51" t="s">
        <v>8</v>
      </c>
      <c r="M34" s="25" t="str">
        <f t="shared" si="49"/>
        <v>19</v>
      </c>
      <c r="N34" s="25" t="str">
        <f t="shared" si="50"/>
        <v>11</v>
      </c>
      <c r="O34" s="25" t="str">
        <f t="shared" si="51"/>
        <v>1</v>
      </c>
      <c r="P34" s="25" t="str">
        <f t="shared" si="52"/>
        <v>4</v>
      </c>
      <c r="Q34" s="25" t="str">
        <f t="shared" si="53"/>
        <v>yellow</v>
      </c>
      <c r="R34" s="25" t="str">
        <f t="shared" si="54"/>
        <v>False</v>
      </c>
      <c r="S34" s="25"/>
      <c r="T34" s="25" t="str">
        <f t="shared" si="55"/>
        <v>True</v>
      </c>
      <c r="AA34" s="25" t="str">
        <f t="shared" si="0"/>
        <v/>
      </c>
      <c r="AB34" s="25" t="str">
        <f t="shared" si="1"/>
        <v/>
      </c>
      <c r="AD34" s="25" t="str">
        <f t="shared" si="2"/>
        <v/>
      </c>
      <c r="AE34" s="25" t="str">
        <f t="shared" si="3"/>
        <v/>
      </c>
      <c r="AF34" s="25" t="str">
        <f t="shared" si="4"/>
        <v/>
      </c>
      <c r="AG34" s="25" t="str">
        <f t="shared" si="5"/>
        <v/>
      </c>
      <c r="AH34" s="25" t="str">
        <f t="shared" si="6"/>
        <v/>
      </c>
      <c r="AI34" s="25" t="str">
        <f t="shared" si="7"/>
        <v/>
      </c>
      <c r="AJ34" s="25" t="str">
        <f t="shared" si="8"/>
        <v/>
      </c>
      <c r="AK34" s="25" t="str">
        <f t="shared" si="9"/>
        <v/>
      </c>
      <c r="AL34" s="25" t="str">
        <f t="shared" si="10"/>
        <v/>
      </c>
      <c r="AM34" s="25" t="str">
        <f t="shared" si="11"/>
        <v/>
      </c>
      <c r="AN34" s="25" t="str">
        <f t="shared" si="12"/>
        <v/>
      </c>
      <c r="AO34" s="25" t="str">
        <f t="shared" si="13"/>
        <v/>
      </c>
      <c r="AP34" s="25" t="str">
        <f t="shared" si="14"/>
        <v/>
      </c>
      <c r="AQ34" s="25" t="str">
        <f t="shared" si="15"/>
        <v/>
      </c>
      <c r="AR34" s="25" t="str">
        <f t="shared" si="16"/>
        <v/>
      </c>
      <c r="AS34" s="25" t="str">
        <f t="shared" si="17"/>
        <v/>
      </c>
      <c r="AT34" s="25" t="str">
        <f t="shared" si="18"/>
        <v/>
      </c>
      <c r="AU34" s="25" t="str">
        <f t="shared" si="19"/>
        <v/>
      </c>
      <c r="AV34" s="25" t="str">
        <f t="shared" si="20"/>
        <v/>
      </c>
      <c r="AW34" s="25" t="str">
        <f t="shared" si="21"/>
        <v/>
      </c>
      <c r="AX34" s="25" t="str">
        <f t="shared" si="22"/>
        <v/>
      </c>
      <c r="AY34" s="25" t="str">
        <f t="shared" si="23"/>
        <v/>
      </c>
      <c r="AZ34" s="25" t="str">
        <f t="shared" si="24"/>
        <v/>
      </c>
      <c r="BA34" s="25" t="str">
        <f t="shared" si="25"/>
        <v/>
      </c>
      <c r="BB34" s="25" t="str">
        <f t="shared" si="26"/>
        <v/>
      </c>
      <c r="BC34" s="25" t="str">
        <f t="shared" si="27"/>
        <v/>
      </c>
      <c r="BD34" s="25" t="str">
        <f t="shared" si="28"/>
        <v/>
      </c>
      <c r="BE34" s="25" t="str">
        <f t="shared" si="29"/>
        <v/>
      </c>
      <c r="BF34" s="25" t="str">
        <f t="shared" si="30"/>
        <v/>
      </c>
      <c r="BG34" s="25" t="str">
        <f t="shared" si="31"/>
        <v/>
      </c>
      <c r="BH34" s="25" t="str">
        <f t="shared" si="32"/>
        <v/>
      </c>
      <c r="BI34" s="6" t="str">
        <f t="shared" si="33"/>
        <v/>
      </c>
      <c r="BJ34" s="6" t="str">
        <f t="shared" si="34"/>
        <v/>
      </c>
      <c r="BK34" s="6" t="str">
        <f t="shared" si="35"/>
        <v/>
      </c>
      <c r="BL34" s="6" t="str">
        <f t="shared" si="36"/>
        <v/>
      </c>
      <c r="BM34" s="6" t="str">
        <f t="shared" si="37"/>
        <v/>
      </c>
      <c r="BN34" s="6" t="str">
        <f t="shared" si="38"/>
        <v/>
      </c>
      <c r="BO34" s="6" t="str">
        <f t="shared" si="39"/>
        <v/>
      </c>
      <c r="BP34" s="6" t="str">
        <f t="shared" si="40"/>
        <v/>
      </c>
      <c r="BQ34" s="6" t="str">
        <f t="shared" si="41"/>
        <v/>
      </c>
      <c r="BR34" s="6" t="str">
        <f t="shared" si="42"/>
        <v/>
      </c>
      <c r="BS34" s="6" t="str">
        <f t="shared" si="43"/>
        <v/>
      </c>
      <c r="BT34" s="6" t="str">
        <f t="shared" si="44"/>
        <v/>
      </c>
      <c r="BU34" s="6" t="str">
        <f t="shared" si="45"/>
        <v/>
      </c>
      <c r="BV34" s="6" t="str">
        <f t="shared" si="46"/>
        <v/>
      </c>
      <c r="BW34" s="6" t="str">
        <f t="shared" si="47"/>
        <v/>
      </c>
      <c r="BX34" s="6" t="str">
        <f t="shared" si="48"/>
        <v/>
      </c>
    </row>
    <row r="35" spans="3:76" ht="21">
      <c r="C35" s="25">
        <v>25</v>
      </c>
      <c r="D35" s="50"/>
      <c r="E35" s="50"/>
      <c r="F35" s="51" t="s">
        <v>8</v>
      </c>
      <c r="M35" s="25" t="str">
        <f t="shared" si="49"/>
        <v>19</v>
      </c>
      <c r="N35" s="25" t="str">
        <f t="shared" si="50"/>
        <v>11</v>
      </c>
      <c r="O35" s="25" t="str">
        <f t="shared" si="51"/>
        <v>1</v>
      </c>
      <c r="P35" s="25" t="str">
        <f t="shared" si="52"/>
        <v>4</v>
      </c>
      <c r="Q35" s="25" t="str">
        <f t="shared" si="53"/>
        <v>yellow</v>
      </c>
      <c r="R35" s="25" t="str">
        <f t="shared" si="54"/>
        <v>False</v>
      </c>
      <c r="S35" s="25"/>
      <c r="T35" s="25" t="str">
        <f t="shared" si="55"/>
        <v>True</v>
      </c>
      <c r="AA35" s="25" t="str">
        <f t="shared" si="0"/>
        <v/>
      </c>
      <c r="AB35" s="25" t="str">
        <f t="shared" si="1"/>
        <v/>
      </c>
      <c r="AD35" s="25" t="str">
        <f t="shared" si="2"/>
        <v/>
      </c>
      <c r="AE35" s="25" t="str">
        <f t="shared" si="3"/>
        <v/>
      </c>
      <c r="AF35" s="25" t="str">
        <f t="shared" si="4"/>
        <v/>
      </c>
      <c r="AG35" s="25" t="str">
        <f t="shared" si="5"/>
        <v/>
      </c>
      <c r="AH35" s="25" t="str">
        <f t="shared" si="6"/>
        <v/>
      </c>
      <c r="AI35" s="25" t="str">
        <f t="shared" si="7"/>
        <v/>
      </c>
      <c r="AJ35" s="25" t="str">
        <f t="shared" si="8"/>
        <v/>
      </c>
      <c r="AK35" s="25" t="str">
        <f t="shared" si="9"/>
        <v/>
      </c>
      <c r="AL35" s="25" t="str">
        <f t="shared" si="10"/>
        <v/>
      </c>
      <c r="AM35" s="25" t="str">
        <f t="shared" si="11"/>
        <v/>
      </c>
      <c r="AN35" s="25" t="str">
        <f t="shared" si="12"/>
        <v/>
      </c>
      <c r="AO35" s="25" t="str">
        <f t="shared" si="13"/>
        <v/>
      </c>
      <c r="AP35" s="25" t="str">
        <f t="shared" si="14"/>
        <v/>
      </c>
      <c r="AQ35" s="25" t="str">
        <f t="shared" si="15"/>
        <v/>
      </c>
      <c r="AR35" s="25" t="str">
        <f t="shared" si="16"/>
        <v/>
      </c>
      <c r="AS35" s="25" t="str">
        <f t="shared" si="17"/>
        <v/>
      </c>
      <c r="AT35" s="25" t="str">
        <f t="shared" si="18"/>
        <v/>
      </c>
      <c r="AU35" s="25" t="str">
        <f t="shared" si="19"/>
        <v/>
      </c>
      <c r="AV35" s="25" t="str">
        <f t="shared" si="20"/>
        <v/>
      </c>
      <c r="AW35" s="25" t="str">
        <f t="shared" si="21"/>
        <v/>
      </c>
      <c r="AX35" s="25" t="str">
        <f t="shared" si="22"/>
        <v/>
      </c>
      <c r="AY35" s="25" t="str">
        <f t="shared" si="23"/>
        <v/>
      </c>
      <c r="AZ35" s="25" t="str">
        <f t="shared" si="24"/>
        <v/>
      </c>
      <c r="BA35" s="25" t="str">
        <f t="shared" si="25"/>
        <v/>
      </c>
      <c r="BB35" s="25" t="str">
        <f t="shared" si="26"/>
        <v/>
      </c>
      <c r="BC35" s="25" t="str">
        <f t="shared" si="27"/>
        <v/>
      </c>
      <c r="BD35" s="25" t="str">
        <f t="shared" si="28"/>
        <v/>
      </c>
      <c r="BE35" s="25" t="str">
        <f t="shared" si="29"/>
        <v/>
      </c>
      <c r="BF35" s="25" t="str">
        <f t="shared" si="30"/>
        <v/>
      </c>
      <c r="BG35" s="25" t="str">
        <f t="shared" si="31"/>
        <v/>
      </c>
      <c r="BH35" s="25" t="str">
        <f t="shared" si="32"/>
        <v/>
      </c>
      <c r="BI35" s="6" t="str">
        <f t="shared" si="33"/>
        <v/>
      </c>
      <c r="BJ35" s="6" t="str">
        <f t="shared" si="34"/>
        <v/>
      </c>
      <c r="BK35" s="6" t="str">
        <f t="shared" si="35"/>
        <v/>
      </c>
      <c r="BL35" s="6" t="str">
        <f t="shared" si="36"/>
        <v/>
      </c>
      <c r="BM35" s="6" t="str">
        <f t="shared" si="37"/>
        <v/>
      </c>
      <c r="BN35" s="6" t="str">
        <f t="shared" si="38"/>
        <v/>
      </c>
      <c r="BO35" s="6" t="str">
        <f t="shared" si="39"/>
        <v/>
      </c>
      <c r="BP35" s="6" t="str">
        <f t="shared" si="40"/>
        <v/>
      </c>
      <c r="BQ35" s="6" t="str">
        <f t="shared" si="41"/>
        <v/>
      </c>
      <c r="BR35" s="6" t="str">
        <f t="shared" si="42"/>
        <v/>
      </c>
      <c r="BS35" s="6" t="str">
        <f t="shared" si="43"/>
        <v/>
      </c>
      <c r="BT35" s="6" t="str">
        <f t="shared" si="44"/>
        <v/>
      </c>
      <c r="BU35" s="6" t="str">
        <f t="shared" si="45"/>
        <v/>
      </c>
      <c r="BV35" s="6" t="str">
        <f t="shared" si="46"/>
        <v/>
      </c>
      <c r="BW35" s="6" t="str">
        <f t="shared" si="47"/>
        <v/>
      </c>
      <c r="BX35" s="6" t="str">
        <f t="shared" si="48"/>
        <v/>
      </c>
    </row>
    <row r="36" spans="3:76" ht="21">
      <c r="C36" s="25">
        <v>26</v>
      </c>
      <c r="D36" s="50"/>
      <c r="E36" s="50"/>
      <c r="F36" s="51" t="s">
        <v>8</v>
      </c>
      <c r="M36" s="25" t="str">
        <f t="shared" si="49"/>
        <v>19</v>
      </c>
      <c r="N36" s="25" t="str">
        <f t="shared" si="50"/>
        <v>11</v>
      </c>
      <c r="O36" s="25" t="str">
        <f t="shared" si="51"/>
        <v>1</v>
      </c>
      <c r="P36" s="25" t="str">
        <f t="shared" si="52"/>
        <v>4</v>
      </c>
      <c r="Q36" s="25" t="str">
        <f t="shared" si="53"/>
        <v>yellow</v>
      </c>
      <c r="R36" s="25" t="str">
        <f t="shared" si="54"/>
        <v>False</v>
      </c>
      <c r="S36" s="25"/>
      <c r="T36" s="25" t="str">
        <f t="shared" si="55"/>
        <v>True</v>
      </c>
      <c r="AA36" s="25" t="str">
        <f t="shared" si="0"/>
        <v/>
      </c>
      <c r="AB36" s="25" t="str">
        <f t="shared" si="1"/>
        <v/>
      </c>
      <c r="AD36" s="25" t="str">
        <f t="shared" si="2"/>
        <v/>
      </c>
      <c r="AE36" s="25" t="str">
        <f t="shared" si="3"/>
        <v/>
      </c>
      <c r="AF36" s="25" t="str">
        <f t="shared" si="4"/>
        <v/>
      </c>
      <c r="AG36" s="25" t="str">
        <f t="shared" si="5"/>
        <v/>
      </c>
      <c r="AH36" s="25" t="str">
        <f t="shared" si="6"/>
        <v/>
      </c>
      <c r="AI36" s="25" t="str">
        <f t="shared" si="7"/>
        <v/>
      </c>
      <c r="AJ36" s="25" t="str">
        <f t="shared" si="8"/>
        <v/>
      </c>
      <c r="AK36" s="25" t="str">
        <f t="shared" si="9"/>
        <v/>
      </c>
      <c r="AL36" s="25" t="str">
        <f t="shared" si="10"/>
        <v/>
      </c>
      <c r="AM36" s="25" t="str">
        <f t="shared" si="11"/>
        <v/>
      </c>
      <c r="AN36" s="25" t="str">
        <f t="shared" si="12"/>
        <v/>
      </c>
      <c r="AO36" s="25" t="str">
        <f t="shared" si="13"/>
        <v/>
      </c>
      <c r="AP36" s="25" t="str">
        <f t="shared" si="14"/>
        <v/>
      </c>
      <c r="AQ36" s="25" t="str">
        <f t="shared" si="15"/>
        <v/>
      </c>
      <c r="AR36" s="25" t="str">
        <f t="shared" si="16"/>
        <v/>
      </c>
      <c r="AS36" s="25" t="str">
        <f t="shared" si="17"/>
        <v/>
      </c>
      <c r="AT36" s="25" t="str">
        <f t="shared" si="18"/>
        <v/>
      </c>
      <c r="AU36" s="25" t="str">
        <f t="shared" si="19"/>
        <v/>
      </c>
      <c r="AV36" s="25" t="str">
        <f t="shared" si="20"/>
        <v/>
      </c>
      <c r="AW36" s="25" t="str">
        <f t="shared" si="21"/>
        <v/>
      </c>
      <c r="AX36" s="25" t="str">
        <f t="shared" si="22"/>
        <v/>
      </c>
      <c r="AY36" s="25" t="str">
        <f t="shared" si="23"/>
        <v/>
      </c>
      <c r="AZ36" s="25" t="str">
        <f t="shared" si="24"/>
        <v/>
      </c>
      <c r="BA36" s="25" t="str">
        <f t="shared" si="25"/>
        <v/>
      </c>
      <c r="BB36" s="25" t="str">
        <f t="shared" si="26"/>
        <v/>
      </c>
      <c r="BC36" s="25" t="str">
        <f t="shared" si="27"/>
        <v/>
      </c>
      <c r="BD36" s="25" t="str">
        <f t="shared" si="28"/>
        <v/>
      </c>
      <c r="BE36" s="25" t="str">
        <f t="shared" si="29"/>
        <v/>
      </c>
      <c r="BF36" s="25" t="str">
        <f t="shared" si="30"/>
        <v/>
      </c>
      <c r="BG36" s="25" t="str">
        <f t="shared" si="31"/>
        <v/>
      </c>
      <c r="BH36" s="25" t="str">
        <f t="shared" si="32"/>
        <v/>
      </c>
      <c r="BI36" s="6" t="str">
        <f t="shared" si="33"/>
        <v/>
      </c>
      <c r="BJ36" s="6" t="str">
        <f t="shared" si="34"/>
        <v/>
      </c>
      <c r="BK36" s="6" t="str">
        <f t="shared" si="35"/>
        <v/>
      </c>
      <c r="BL36" s="6" t="str">
        <f t="shared" si="36"/>
        <v/>
      </c>
      <c r="BM36" s="6" t="str">
        <f t="shared" si="37"/>
        <v/>
      </c>
      <c r="BN36" s="6" t="str">
        <f t="shared" si="38"/>
        <v/>
      </c>
      <c r="BO36" s="6" t="str">
        <f t="shared" si="39"/>
        <v/>
      </c>
      <c r="BP36" s="6" t="str">
        <f t="shared" si="40"/>
        <v/>
      </c>
      <c r="BQ36" s="6" t="str">
        <f t="shared" si="41"/>
        <v/>
      </c>
      <c r="BR36" s="6" t="str">
        <f t="shared" si="42"/>
        <v/>
      </c>
      <c r="BS36" s="6" t="str">
        <f t="shared" si="43"/>
        <v/>
      </c>
      <c r="BT36" s="6" t="str">
        <f t="shared" si="44"/>
        <v/>
      </c>
      <c r="BU36" s="6" t="str">
        <f t="shared" si="45"/>
        <v/>
      </c>
      <c r="BV36" s="6" t="str">
        <f t="shared" si="46"/>
        <v/>
      </c>
      <c r="BW36" s="6" t="str">
        <f t="shared" si="47"/>
        <v/>
      </c>
      <c r="BX36" s="6" t="str">
        <f t="shared" si="48"/>
        <v/>
      </c>
    </row>
    <row r="37" spans="3:76" ht="21">
      <c r="C37" s="25">
        <v>27</v>
      </c>
      <c r="D37" s="50"/>
      <c r="E37" s="50"/>
      <c r="F37" s="51" t="s">
        <v>8</v>
      </c>
      <c r="M37" s="25" t="str">
        <f t="shared" si="49"/>
        <v>19</v>
      </c>
      <c r="N37" s="25" t="str">
        <f t="shared" si="50"/>
        <v>11</v>
      </c>
      <c r="O37" s="25" t="str">
        <f t="shared" si="51"/>
        <v>1</v>
      </c>
      <c r="P37" s="25" t="str">
        <f t="shared" si="52"/>
        <v>4</v>
      </c>
      <c r="Q37" s="25" t="str">
        <f t="shared" si="53"/>
        <v>yellow</v>
      </c>
      <c r="R37" s="25" t="str">
        <f t="shared" si="54"/>
        <v>False</v>
      </c>
      <c r="S37" s="25"/>
      <c r="T37" s="25" t="str">
        <f t="shared" si="55"/>
        <v>True</v>
      </c>
      <c r="AA37" s="25" t="str">
        <f t="shared" si="0"/>
        <v/>
      </c>
      <c r="AB37" s="25" t="str">
        <f t="shared" si="1"/>
        <v/>
      </c>
      <c r="AD37" s="25" t="str">
        <f t="shared" si="2"/>
        <v/>
      </c>
      <c r="AE37" s="25" t="str">
        <f t="shared" si="3"/>
        <v/>
      </c>
      <c r="AF37" s="25" t="str">
        <f t="shared" si="4"/>
        <v/>
      </c>
      <c r="AG37" s="25" t="str">
        <f t="shared" si="5"/>
        <v/>
      </c>
      <c r="AH37" s="25" t="str">
        <f t="shared" si="6"/>
        <v/>
      </c>
      <c r="AI37" s="25" t="str">
        <f t="shared" si="7"/>
        <v/>
      </c>
      <c r="AJ37" s="25" t="str">
        <f t="shared" si="8"/>
        <v/>
      </c>
      <c r="AK37" s="25" t="str">
        <f t="shared" si="9"/>
        <v/>
      </c>
      <c r="AL37" s="25" t="str">
        <f t="shared" si="10"/>
        <v/>
      </c>
      <c r="AM37" s="25" t="str">
        <f t="shared" si="11"/>
        <v/>
      </c>
      <c r="AN37" s="25" t="str">
        <f t="shared" si="12"/>
        <v/>
      </c>
      <c r="AO37" s="25" t="str">
        <f t="shared" si="13"/>
        <v/>
      </c>
      <c r="AP37" s="25" t="str">
        <f t="shared" si="14"/>
        <v/>
      </c>
      <c r="AQ37" s="25" t="str">
        <f t="shared" si="15"/>
        <v/>
      </c>
      <c r="AR37" s="25" t="str">
        <f t="shared" si="16"/>
        <v/>
      </c>
      <c r="AS37" s="25" t="str">
        <f t="shared" si="17"/>
        <v/>
      </c>
      <c r="AT37" s="25" t="str">
        <f t="shared" si="18"/>
        <v/>
      </c>
      <c r="AU37" s="25" t="str">
        <f t="shared" si="19"/>
        <v/>
      </c>
      <c r="AV37" s="25" t="str">
        <f t="shared" si="20"/>
        <v/>
      </c>
      <c r="AW37" s="25" t="str">
        <f t="shared" si="21"/>
        <v/>
      </c>
      <c r="AX37" s="25" t="str">
        <f t="shared" si="22"/>
        <v/>
      </c>
      <c r="AY37" s="25" t="str">
        <f t="shared" si="23"/>
        <v/>
      </c>
      <c r="AZ37" s="25" t="str">
        <f t="shared" si="24"/>
        <v/>
      </c>
      <c r="BA37" s="25" t="str">
        <f t="shared" si="25"/>
        <v/>
      </c>
      <c r="BB37" s="25" t="str">
        <f t="shared" si="26"/>
        <v/>
      </c>
      <c r="BC37" s="25" t="str">
        <f t="shared" si="27"/>
        <v/>
      </c>
      <c r="BD37" s="25" t="str">
        <f t="shared" si="28"/>
        <v/>
      </c>
      <c r="BE37" s="25" t="str">
        <f t="shared" si="29"/>
        <v/>
      </c>
      <c r="BF37" s="25" t="str">
        <f t="shared" si="30"/>
        <v/>
      </c>
      <c r="BG37" s="25" t="str">
        <f t="shared" si="31"/>
        <v/>
      </c>
      <c r="BH37" s="25" t="str">
        <f t="shared" si="32"/>
        <v/>
      </c>
      <c r="BI37" s="6" t="str">
        <f t="shared" si="33"/>
        <v/>
      </c>
      <c r="BJ37" s="6" t="str">
        <f t="shared" si="34"/>
        <v/>
      </c>
      <c r="BK37" s="6" t="str">
        <f t="shared" si="35"/>
        <v/>
      </c>
      <c r="BL37" s="6" t="str">
        <f t="shared" si="36"/>
        <v/>
      </c>
      <c r="BM37" s="6" t="str">
        <f t="shared" si="37"/>
        <v/>
      </c>
      <c r="BN37" s="6" t="str">
        <f t="shared" si="38"/>
        <v/>
      </c>
      <c r="BO37" s="6" t="str">
        <f t="shared" si="39"/>
        <v/>
      </c>
      <c r="BP37" s="6" t="str">
        <f t="shared" si="40"/>
        <v/>
      </c>
      <c r="BQ37" s="6" t="str">
        <f t="shared" si="41"/>
        <v/>
      </c>
      <c r="BR37" s="6" t="str">
        <f t="shared" si="42"/>
        <v/>
      </c>
      <c r="BS37" s="6" t="str">
        <f t="shared" si="43"/>
        <v/>
      </c>
      <c r="BT37" s="6" t="str">
        <f t="shared" si="44"/>
        <v/>
      </c>
      <c r="BU37" s="6" t="str">
        <f t="shared" si="45"/>
        <v/>
      </c>
      <c r="BV37" s="6" t="str">
        <f t="shared" si="46"/>
        <v/>
      </c>
      <c r="BW37" s="6" t="str">
        <f t="shared" si="47"/>
        <v/>
      </c>
      <c r="BX37" s="6" t="str">
        <f t="shared" si="48"/>
        <v/>
      </c>
    </row>
    <row r="38" spans="3:76" ht="21">
      <c r="C38" s="25">
        <v>28</v>
      </c>
      <c r="D38" s="50"/>
      <c r="E38" s="50"/>
      <c r="F38" s="51" t="s">
        <v>8</v>
      </c>
      <c r="M38" s="25" t="str">
        <f t="shared" si="49"/>
        <v>19</v>
      </c>
      <c r="N38" s="25" t="str">
        <f t="shared" si="50"/>
        <v>11</v>
      </c>
      <c r="O38" s="25" t="str">
        <f t="shared" si="51"/>
        <v>1</v>
      </c>
      <c r="P38" s="25" t="str">
        <f t="shared" si="52"/>
        <v>4</v>
      </c>
      <c r="Q38" s="25" t="str">
        <f t="shared" si="53"/>
        <v>yellow</v>
      </c>
      <c r="R38" s="25" t="str">
        <f t="shared" si="54"/>
        <v>False</v>
      </c>
      <c r="S38" s="25"/>
      <c r="T38" s="25" t="str">
        <f t="shared" si="55"/>
        <v>True</v>
      </c>
      <c r="AA38" s="25" t="str">
        <f t="shared" si="0"/>
        <v/>
      </c>
      <c r="AB38" s="25" t="str">
        <f t="shared" si="1"/>
        <v/>
      </c>
      <c r="AD38" s="25" t="str">
        <f t="shared" si="2"/>
        <v/>
      </c>
      <c r="AE38" s="25" t="str">
        <f t="shared" si="3"/>
        <v/>
      </c>
      <c r="AF38" s="25" t="str">
        <f t="shared" si="4"/>
        <v/>
      </c>
      <c r="AG38" s="25" t="str">
        <f t="shared" si="5"/>
        <v/>
      </c>
      <c r="AH38" s="25" t="str">
        <f t="shared" si="6"/>
        <v/>
      </c>
      <c r="AI38" s="25" t="str">
        <f t="shared" si="7"/>
        <v/>
      </c>
      <c r="AJ38" s="25" t="str">
        <f t="shared" si="8"/>
        <v/>
      </c>
      <c r="AK38" s="25" t="str">
        <f t="shared" si="9"/>
        <v/>
      </c>
      <c r="AL38" s="25" t="str">
        <f t="shared" si="10"/>
        <v/>
      </c>
      <c r="AM38" s="25" t="str">
        <f t="shared" si="11"/>
        <v/>
      </c>
      <c r="AN38" s="25" t="str">
        <f t="shared" si="12"/>
        <v/>
      </c>
      <c r="AO38" s="25" t="str">
        <f t="shared" si="13"/>
        <v/>
      </c>
      <c r="AP38" s="25" t="str">
        <f t="shared" si="14"/>
        <v/>
      </c>
      <c r="AQ38" s="25" t="str">
        <f t="shared" si="15"/>
        <v/>
      </c>
      <c r="AR38" s="25" t="str">
        <f t="shared" si="16"/>
        <v/>
      </c>
      <c r="AS38" s="25" t="str">
        <f t="shared" si="17"/>
        <v/>
      </c>
      <c r="AT38" s="25" t="str">
        <f t="shared" si="18"/>
        <v/>
      </c>
      <c r="AU38" s="25" t="str">
        <f t="shared" si="19"/>
        <v/>
      </c>
      <c r="AV38" s="25" t="str">
        <f t="shared" si="20"/>
        <v/>
      </c>
      <c r="AW38" s="25" t="str">
        <f t="shared" si="21"/>
        <v/>
      </c>
      <c r="AX38" s="25" t="str">
        <f t="shared" si="22"/>
        <v/>
      </c>
      <c r="AY38" s="25" t="str">
        <f t="shared" si="23"/>
        <v/>
      </c>
      <c r="AZ38" s="25" t="str">
        <f t="shared" si="24"/>
        <v/>
      </c>
      <c r="BA38" s="25" t="str">
        <f t="shared" si="25"/>
        <v/>
      </c>
      <c r="BB38" s="25" t="str">
        <f t="shared" si="26"/>
        <v/>
      </c>
      <c r="BC38" s="25" t="str">
        <f t="shared" si="27"/>
        <v/>
      </c>
      <c r="BD38" s="25" t="str">
        <f t="shared" si="28"/>
        <v/>
      </c>
      <c r="BE38" s="25" t="str">
        <f t="shared" si="29"/>
        <v/>
      </c>
      <c r="BF38" s="25" t="str">
        <f t="shared" si="30"/>
        <v/>
      </c>
      <c r="BG38" s="25" t="str">
        <f t="shared" si="31"/>
        <v/>
      </c>
      <c r="BH38" s="25" t="str">
        <f t="shared" si="32"/>
        <v/>
      </c>
      <c r="BI38" s="6" t="str">
        <f t="shared" si="33"/>
        <v/>
      </c>
      <c r="BJ38" s="6" t="str">
        <f t="shared" si="34"/>
        <v/>
      </c>
      <c r="BK38" s="6" t="str">
        <f t="shared" si="35"/>
        <v/>
      </c>
      <c r="BL38" s="6" t="str">
        <f t="shared" si="36"/>
        <v/>
      </c>
      <c r="BM38" s="6" t="str">
        <f t="shared" si="37"/>
        <v/>
      </c>
      <c r="BN38" s="6" t="str">
        <f t="shared" si="38"/>
        <v/>
      </c>
      <c r="BO38" s="6" t="str">
        <f t="shared" si="39"/>
        <v/>
      </c>
      <c r="BP38" s="6" t="str">
        <f t="shared" si="40"/>
        <v/>
      </c>
      <c r="BQ38" s="6" t="str">
        <f t="shared" si="41"/>
        <v/>
      </c>
      <c r="BR38" s="6" t="str">
        <f t="shared" si="42"/>
        <v/>
      </c>
      <c r="BS38" s="6" t="str">
        <f t="shared" si="43"/>
        <v/>
      </c>
      <c r="BT38" s="6" t="str">
        <f t="shared" si="44"/>
        <v/>
      </c>
      <c r="BU38" s="6" t="str">
        <f t="shared" si="45"/>
        <v/>
      </c>
      <c r="BV38" s="6" t="str">
        <f t="shared" si="46"/>
        <v/>
      </c>
      <c r="BW38" s="6" t="str">
        <f t="shared" si="47"/>
        <v/>
      </c>
      <c r="BX38" s="6" t="str">
        <f t="shared" si="48"/>
        <v/>
      </c>
    </row>
    <row r="39" spans="3:76" ht="21">
      <c r="C39" s="25">
        <v>29</v>
      </c>
      <c r="D39" s="50"/>
      <c r="E39" s="50"/>
      <c r="F39" s="51" t="s">
        <v>8</v>
      </c>
      <c r="M39" s="25" t="str">
        <f t="shared" si="49"/>
        <v>19</v>
      </c>
      <c r="N39" s="25" t="str">
        <f t="shared" si="50"/>
        <v>11</v>
      </c>
      <c r="O39" s="25" t="str">
        <f t="shared" si="51"/>
        <v>1</v>
      </c>
      <c r="P39" s="25" t="str">
        <f t="shared" si="52"/>
        <v>4</v>
      </c>
      <c r="Q39" s="25" t="str">
        <f t="shared" si="53"/>
        <v>yellow</v>
      </c>
      <c r="R39" s="25" t="str">
        <f t="shared" si="54"/>
        <v>False</v>
      </c>
      <c r="S39" s="25"/>
      <c r="T39" s="25" t="str">
        <f t="shared" si="55"/>
        <v>True</v>
      </c>
      <c r="AA39" s="25" t="str">
        <f t="shared" si="0"/>
        <v/>
      </c>
      <c r="AB39" s="25" t="str">
        <f t="shared" si="1"/>
        <v/>
      </c>
      <c r="AD39" s="25" t="str">
        <f t="shared" si="2"/>
        <v/>
      </c>
      <c r="AE39" s="25" t="str">
        <f t="shared" si="3"/>
        <v/>
      </c>
      <c r="AF39" s="25" t="str">
        <f t="shared" si="4"/>
        <v/>
      </c>
      <c r="AG39" s="25" t="str">
        <f t="shared" si="5"/>
        <v/>
      </c>
      <c r="AH39" s="25" t="str">
        <f t="shared" si="6"/>
        <v/>
      </c>
      <c r="AI39" s="25" t="str">
        <f t="shared" si="7"/>
        <v/>
      </c>
      <c r="AJ39" s="25" t="str">
        <f t="shared" si="8"/>
        <v/>
      </c>
      <c r="AK39" s="25" t="str">
        <f t="shared" si="9"/>
        <v/>
      </c>
      <c r="AL39" s="25" t="str">
        <f t="shared" si="10"/>
        <v/>
      </c>
      <c r="AM39" s="25" t="str">
        <f t="shared" si="11"/>
        <v/>
      </c>
      <c r="AN39" s="25" t="str">
        <f t="shared" si="12"/>
        <v/>
      </c>
      <c r="AO39" s="25" t="str">
        <f t="shared" si="13"/>
        <v/>
      </c>
      <c r="AP39" s="25" t="str">
        <f t="shared" si="14"/>
        <v/>
      </c>
      <c r="AQ39" s="25" t="str">
        <f t="shared" si="15"/>
        <v/>
      </c>
      <c r="AR39" s="25" t="str">
        <f t="shared" si="16"/>
        <v/>
      </c>
      <c r="AS39" s="25" t="str">
        <f t="shared" si="17"/>
        <v/>
      </c>
      <c r="AT39" s="25" t="str">
        <f t="shared" si="18"/>
        <v/>
      </c>
      <c r="AU39" s="25" t="str">
        <f t="shared" si="19"/>
        <v/>
      </c>
      <c r="AV39" s="25" t="str">
        <f t="shared" si="20"/>
        <v/>
      </c>
      <c r="AW39" s="25" t="str">
        <f t="shared" si="21"/>
        <v/>
      </c>
      <c r="AX39" s="25" t="str">
        <f t="shared" si="22"/>
        <v/>
      </c>
      <c r="AY39" s="25" t="str">
        <f t="shared" si="23"/>
        <v/>
      </c>
      <c r="AZ39" s="25" t="str">
        <f t="shared" si="24"/>
        <v/>
      </c>
      <c r="BA39" s="25" t="str">
        <f t="shared" si="25"/>
        <v/>
      </c>
      <c r="BB39" s="25" t="str">
        <f t="shared" si="26"/>
        <v/>
      </c>
      <c r="BC39" s="25" t="str">
        <f t="shared" si="27"/>
        <v/>
      </c>
      <c r="BD39" s="25" t="str">
        <f t="shared" si="28"/>
        <v/>
      </c>
      <c r="BE39" s="25" t="str">
        <f t="shared" si="29"/>
        <v/>
      </c>
      <c r="BF39" s="25" t="str">
        <f t="shared" si="30"/>
        <v/>
      </c>
      <c r="BG39" s="25" t="str">
        <f t="shared" si="31"/>
        <v/>
      </c>
      <c r="BH39" s="25" t="str">
        <f t="shared" si="32"/>
        <v/>
      </c>
      <c r="BI39" s="6" t="str">
        <f t="shared" si="33"/>
        <v/>
      </c>
      <c r="BJ39" s="6" t="str">
        <f t="shared" si="34"/>
        <v/>
      </c>
      <c r="BK39" s="6" t="str">
        <f t="shared" si="35"/>
        <v/>
      </c>
      <c r="BL39" s="6" t="str">
        <f t="shared" si="36"/>
        <v/>
      </c>
      <c r="BM39" s="6" t="str">
        <f t="shared" si="37"/>
        <v/>
      </c>
      <c r="BN39" s="6" t="str">
        <f t="shared" si="38"/>
        <v/>
      </c>
      <c r="BO39" s="6" t="str">
        <f t="shared" si="39"/>
        <v/>
      </c>
      <c r="BP39" s="6" t="str">
        <f t="shared" si="40"/>
        <v/>
      </c>
      <c r="BQ39" s="6" t="str">
        <f t="shared" si="41"/>
        <v/>
      </c>
      <c r="BR39" s="6" t="str">
        <f t="shared" si="42"/>
        <v/>
      </c>
      <c r="BS39" s="6" t="str">
        <f t="shared" si="43"/>
        <v/>
      </c>
      <c r="BT39" s="6" t="str">
        <f t="shared" si="44"/>
        <v/>
      </c>
      <c r="BU39" s="6" t="str">
        <f t="shared" si="45"/>
        <v/>
      </c>
      <c r="BV39" s="6" t="str">
        <f t="shared" si="46"/>
        <v/>
      </c>
      <c r="BW39" s="6" t="str">
        <f t="shared" si="47"/>
        <v/>
      </c>
      <c r="BX39" s="6" t="str">
        <f t="shared" si="48"/>
        <v/>
      </c>
    </row>
    <row r="40" spans="3:76" ht="21">
      <c r="C40" s="25">
        <v>30</v>
      </c>
      <c r="D40" s="50"/>
      <c r="E40" s="50"/>
      <c r="F40" s="51" t="s">
        <v>8</v>
      </c>
      <c r="M40" s="25" t="str">
        <f t="shared" si="49"/>
        <v>19</v>
      </c>
      <c r="N40" s="25" t="str">
        <f t="shared" si="50"/>
        <v>11</v>
      </c>
      <c r="O40" s="25" t="str">
        <f t="shared" si="51"/>
        <v>1</v>
      </c>
      <c r="P40" s="25" t="str">
        <f t="shared" si="52"/>
        <v>4</v>
      </c>
      <c r="Q40" s="25" t="str">
        <f t="shared" si="53"/>
        <v>yellow</v>
      </c>
      <c r="R40" s="25" t="str">
        <f t="shared" si="54"/>
        <v>False</v>
      </c>
      <c r="S40" s="25"/>
      <c r="T40" s="25" t="str">
        <f t="shared" si="55"/>
        <v>True</v>
      </c>
      <c r="AA40" s="25" t="str">
        <f t="shared" si="0"/>
        <v/>
      </c>
      <c r="AB40" s="25" t="str">
        <f t="shared" si="1"/>
        <v/>
      </c>
      <c r="AD40" s="25" t="str">
        <f t="shared" si="2"/>
        <v/>
      </c>
      <c r="AE40" s="25" t="str">
        <f t="shared" si="3"/>
        <v/>
      </c>
      <c r="AF40" s="25" t="str">
        <f t="shared" si="4"/>
        <v/>
      </c>
      <c r="AG40" s="25" t="str">
        <f t="shared" si="5"/>
        <v/>
      </c>
      <c r="AH40" s="25" t="str">
        <f t="shared" si="6"/>
        <v/>
      </c>
      <c r="AI40" s="25" t="str">
        <f t="shared" si="7"/>
        <v/>
      </c>
      <c r="AJ40" s="25" t="str">
        <f t="shared" si="8"/>
        <v/>
      </c>
      <c r="AK40" s="25" t="str">
        <f t="shared" si="9"/>
        <v/>
      </c>
      <c r="AL40" s="25" t="str">
        <f t="shared" si="10"/>
        <v/>
      </c>
      <c r="AM40" s="25" t="str">
        <f t="shared" si="11"/>
        <v/>
      </c>
      <c r="AN40" s="25" t="str">
        <f t="shared" si="12"/>
        <v/>
      </c>
      <c r="AO40" s="25" t="str">
        <f t="shared" si="13"/>
        <v/>
      </c>
      <c r="AP40" s="25" t="str">
        <f t="shared" si="14"/>
        <v/>
      </c>
      <c r="AQ40" s="25" t="str">
        <f t="shared" si="15"/>
        <v/>
      </c>
      <c r="AR40" s="25" t="str">
        <f t="shared" si="16"/>
        <v/>
      </c>
      <c r="AS40" s="25" t="str">
        <f t="shared" si="17"/>
        <v/>
      </c>
      <c r="AT40" s="25" t="str">
        <f t="shared" si="18"/>
        <v/>
      </c>
      <c r="AU40" s="25" t="str">
        <f t="shared" si="19"/>
        <v/>
      </c>
      <c r="AV40" s="25" t="str">
        <f t="shared" si="20"/>
        <v/>
      </c>
      <c r="AW40" s="25" t="str">
        <f t="shared" si="21"/>
        <v/>
      </c>
      <c r="AX40" s="25" t="str">
        <f t="shared" si="22"/>
        <v/>
      </c>
      <c r="AY40" s="25" t="str">
        <f t="shared" si="23"/>
        <v/>
      </c>
      <c r="AZ40" s="25" t="str">
        <f t="shared" si="24"/>
        <v/>
      </c>
      <c r="BA40" s="25" t="str">
        <f t="shared" si="25"/>
        <v/>
      </c>
      <c r="BB40" s="25" t="str">
        <f t="shared" si="26"/>
        <v/>
      </c>
      <c r="BC40" s="25" t="str">
        <f t="shared" si="27"/>
        <v/>
      </c>
      <c r="BD40" s="25" t="str">
        <f t="shared" si="28"/>
        <v/>
      </c>
      <c r="BE40" s="25" t="str">
        <f t="shared" si="29"/>
        <v/>
      </c>
      <c r="BF40" s="25" t="str">
        <f t="shared" si="30"/>
        <v/>
      </c>
      <c r="BG40" s="25" t="str">
        <f t="shared" si="31"/>
        <v/>
      </c>
      <c r="BH40" s="25" t="str">
        <f t="shared" si="32"/>
        <v/>
      </c>
      <c r="BI40" s="6" t="str">
        <f t="shared" si="33"/>
        <v/>
      </c>
      <c r="BJ40" s="6" t="str">
        <f t="shared" si="34"/>
        <v/>
      </c>
      <c r="BK40" s="6" t="str">
        <f t="shared" si="35"/>
        <v/>
      </c>
      <c r="BL40" s="6" t="str">
        <f t="shared" si="36"/>
        <v/>
      </c>
      <c r="BM40" s="6" t="str">
        <f t="shared" si="37"/>
        <v/>
      </c>
      <c r="BN40" s="6" t="str">
        <f t="shared" si="38"/>
        <v/>
      </c>
      <c r="BO40" s="6" t="str">
        <f t="shared" si="39"/>
        <v/>
      </c>
      <c r="BP40" s="6" t="str">
        <f t="shared" si="40"/>
        <v/>
      </c>
      <c r="BQ40" s="6" t="str">
        <f t="shared" si="41"/>
        <v/>
      </c>
      <c r="BR40" s="6" t="str">
        <f t="shared" si="42"/>
        <v/>
      </c>
      <c r="BS40" s="6" t="str">
        <f t="shared" si="43"/>
        <v/>
      </c>
      <c r="BT40" s="6" t="str">
        <f t="shared" si="44"/>
        <v/>
      </c>
      <c r="BU40" s="6" t="str">
        <f t="shared" si="45"/>
        <v/>
      </c>
      <c r="BV40" s="6" t="str">
        <f t="shared" si="46"/>
        <v/>
      </c>
      <c r="BW40" s="6" t="str">
        <f t="shared" si="47"/>
        <v/>
      </c>
      <c r="BX40" s="6" t="str">
        <f t="shared" si="48"/>
        <v/>
      </c>
    </row>
    <row r="41" spans="3:76" ht="21">
      <c r="C41" s="25">
        <v>31</v>
      </c>
      <c r="D41" s="50"/>
      <c r="E41" s="50"/>
      <c r="F41" s="51" t="s">
        <v>8</v>
      </c>
      <c r="M41" s="25" t="str">
        <f t="shared" si="49"/>
        <v>19</v>
      </c>
      <c r="N41" s="25" t="str">
        <f t="shared" si="50"/>
        <v>11</v>
      </c>
      <c r="O41" s="25" t="str">
        <f t="shared" si="51"/>
        <v>1</v>
      </c>
      <c r="P41" s="25" t="str">
        <f t="shared" si="52"/>
        <v>4</v>
      </c>
      <c r="Q41" s="25" t="str">
        <f t="shared" si="53"/>
        <v>yellow</v>
      </c>
      <c r="R41" s="25" t="str">
        <f t="shared" si="54"/>
        <v>False</v>
      </c>
      <c r="S41" s="25"/>
      <c r="T41" s="25" t="str">
        <f t="shared" si="55"/>
        <v>True</v>
      </c>
      <c r="AA41" s="25" t="str">
        <f t="shared" si="0"/>
        <v/>
      </c>
      <c r="AB41" s="25" t="str">
        <f t="shared" si="1"/>
        <v/>
      </c>
      <c r="AD41" s="25" t="str">
        <f t="shared" si="2"/>
        <v/>
      </c>
      <c r="AE41" s="25" t="str">
        <f t="shared" si="3"/>
        <v/>
      </c>
      <c r="AF41" s="25" t="str">
        <f t="shared" si="4"/>
        <v/>
      </c>
      <c r="AG41" s="25" t="str">
        <f t="shared" si="5"/>
        <v/>
      </c>
      <c r="AH41" s="25" t="str">
        <f t="shared" si="6"/>
        <v/>
      </c>
      <c r="AI41" s="25" t="str">
        <f t="shared" si="7"/>
        <v/>
      </c>
      <c r="AJ41" s="25" t="str">
        <f t="shared" si="8"/>
        <v/>
      </c>
      <c r="AK41" s="25" t="str">
        <f t="shared" si="9"/>
        <v/>
      </c>
      <c r="AL41" s="25" t="str">
        <f t="shared" si="10"/>
        <v/>
      </c>
      <c r="AM41" s="25" t="str">
        <f t="shared" si="11"/>
        <v/>
      </c>
      <c r="AN41" s="25" t="str">
        <f t="shared" si="12"/>
        <v/>
      </c>
      <c r="AO41" s="25" t="str">
        <f t="shared" si="13"/>
        <v/>
      </c>
      <c r="AP41" s="25" t="str">
        <f t="shared" si="14"/>
        <v/>
      </c>
      <c r="AQ41" s="25" t="str">
        <f t="shared" si="15"/>
        <v/>
      </c>
      <c r="AR41" s="25" t="str">
        <f t="shared" si="16"/>
        <v/>
      </c>
      <c r="AS41" s="25" t="str">
        <f t="shared" si="17"/>
        <v/>
      </c>
      <c r="AT41" s="25" t="str">
        <f t="shared" si="18"/>
        <v/>
      </c>
      <c r="AU41" s="25" t="str">
        <f t="shared" si="19"/>
        <v/>
      </c>
      <c r="AV41" s="25" t="str">
        <f t="shared" si="20"/>
        <v/>
      </c>
      <c r="AW41" s="25" t="str">
        <f t="shared" si="21"/>
        <v/>
      </c>
      <c r="AX41" s="25" t="str">
        <f t="shared" si="22"/>
        <v/>
      </c>
      <c r="AY41" s="25" t="str">
        <f t="shared" si="23"/>
        <v/>
      </c>
      <c r="AZ41" s="25" t="str">
        <f t="shared" si="24"/>
        <v/>
      </c>
      <c r="BA41" s="25" t="str">
        <f t="shared" si="25"/>
        <v/>
      </c>
      <c r="BB41" s="25" t="str">
        <f t="shared" si="26"/>
        <v/>
      </c>
      <c r="BC41" s="25" t="str">
        <f t="shared" si="27"/>
        <v/>
      </c>
      <c r="BD41" s="25" t="str">
        <f t="shared" si="28"/>
        <v/>
      </c>
      <c r="BE41" s="25" t="str">
        <f t="shared" si="29"/>
        <v/>
      </c>
      <c r="BF41" s="25" t="str">
        <f t="shared" si="30"/>
        <v/>
      </c>
      <c r="BG41" s="25" t="str">
        <f t="shared" si="31"/>
        <v/>
      </c>
      <c r="BH41" s="25" t="str">
        <f t="shared" si="32"/>
        <v/>
      </c>
      <c r="BI41" s="6" t="str">
        <f t="shared" si="33"/>
        <v/>
      </c>
      <c r="BJ41" s="6" t="str">
        <f t="shared" si="34"/>
        <v/>
      </c>
      <c r="BK41" s="6" t="str">
        <f t="shared" si="35"/>
        <v/>
      </c>
      <c r="BL41" s="6" t="str">
        <f t="shared" si="36"/>
        <v/>
      </c>
      <c r="BM41" s="6" t="str">
        <f t="shared" si="37"/>
        <v/>
      </c>
      <c r="BN41" s="6" t="str">
        <f t="shared" si="38"/>
        <v/>
      </c>
      <c r="BO41" s="6" t="str">
        <f t="shared" si="39"/>
        <v/>
      </c>
      <c r="BP41" s="6" t="str">
        <f t="shared" si="40"/>
        <v/>
      </c>
      <c r="BQ41" s="6" t="str">
        <f t="shared" si="41"/>
        <v/>
      </c>
      <c r="BR41" s="6" t="str">
        <f t="shared" si="42"/>
        <v/>
      </c>
      <c r="BS41" s="6" t="str">
        <f t="shared" si="43"/>
        <v/>
      </c>
      <c r="BT41" s="6" t="str">
        <f t="shared" si="44"/>
        <v/>
      </c>
      <c r="BU41" s="6" t="str">
        <f t="shared" si="45"/>
        <v/>
      </c>
      <c r="BV41" s="6" t="str">
        <f t="shared" si="46"/>
        <v/>
      </c>
      <c r="BW41" s="6" t="str">
        <f t="shared" si="47"/>
        <v/>
      </c>
      <c r="BX41" s="6" t="str">
        <f t="shared" si="48"/>
        <v/>
      </c>
    </row>
    <row r="42" spans="3:76" ht="21">
      <c r="C42" s="25">
        <v>32</v>
      </c>
      <c r="D42" s="50"/>
      <c r="E42" s="50"/>
      <c r="F42" s="51" t="s">
        <v>8</v>
      </c>
      <c r="M42" s="25" t="str">
        <f t="shared" si="49"/>
        <v>19</v>
      </c>
      <c r="N42" s="25" t="str">
        <f t="shared" si="50"/>
        <v>11</v>
      </c>
      <c r="O42" s="25" t="str">
        <f t="shared" si="51"/>
        <v>1</v>
      </c>
      <c r="P42" s="25" t="str">
        <f t="shared" si="52"/>
        <v>4</v>
      </c>
      <c r="Q42" s="25" t="str">
        <f t="shared" si="53"/>
        <v>yellow</v>
      </c>
      <c r="R42" s="25" t="str">
        <f t="shared" si="54"/>
        <v>False</v>
      </c>
      <c r="S42" s="25"/>
      <c r="T42" s="25" t="str">
        <f t="shared" si="55"/>
        <v>True</v>
      </c>
      <c r="AA42" s="25" t="str">
        <f t="shared" si="0"/>
        <v/>
      </c>
      <c r="AB42" s="25" t="str">
        <f t="shared" si="1"/>
        <v/>
      </c>
      <c r="AD42" s="25" t="str">
        <f t="shared" si="2"/>
        <v/>
      </c>
      <c r="AE42" s="25" t="str">
        <f t="shared" si="3"/>
        <v/>
      </c>
      <c r="AF42" s="25" t="str">
        <f t="shared" si="4"/>
        <v/>
      </c>
      <c r="AG42" s="25" t="str">
        <f t="shared" si="5"/>
        <v/>
      </c>
      <c r="AH42" s="25" t="str">
        <f t="shared" si="6"/>
        <v/>
      </c>
      <c r="AI42" s="25" t="str">
        <f t="shared" si="7"/>
        <v/>
      </c>
      <c r="AJ42" s="25" t="str">
        <f t="shared" si="8"/>
        <v/>
      </c>
      <c r="AK42" s="25" t="str">
        <f t="shared" si="9"/>
        <v/>
      </c>
      <c r="AL42" s="25" t="str">
        <f t="shared" si="10"/>
        <v/>
      </c>
      <c r="AM42" s="25" t="str">
        <f t="shared" si="11"/>
        <v/>
      </c>
      <c r="AN42" s="25" t="str">
        <f t="shared" si="12"/>
        <v/>
      </c>
      <c r="AO42" s="25" t="str">
        <f t="shared" si="13"/>
        <v/>
      </c>
      <c r="AP42" s="25" t="str">
        <f t="shared" si="14"/>
        <v/>
      </c>
      <c r="AQ42" s="25" t="str">
        <f t="shared" si="15"/>
        <v/>
      </c>
      <c r="AR42" s="25" t="str">
        <f t="shared" si="16"/>
        <v/>
      </c>
      <c r="AS42" s="25" t="str">
        <f t="shared" si="17"/>
        <v/>
      </c>
      <c r="AT42" s="25" t="str">
        <f t="shared" si="18"/>
        <v/>
      </c>
      <c r="AU42" s="25" t="str">
        <f t="shared" si="19"/>
        <v/>
      </c>
      <c r="AV42" s="25" t="str">
        <f t="shared" si="20"/>
        <v/>
      </c>
      <c r="AW42" s="25" t="str">
        <f t="shared" si="21"/>
        <v/>
      </c>
      <c r="AX42" s="25" t="str">
        <f t="shared" si="22"/>
        <v/>
      </c>
      <c r="AY42" s="25" t="str">
        <f t="shared" si="23"/>
        <v/>
      </c>
      <c r="AZ42" s="25" t="str">
        <f t="shared" si="24"/>
        <v/>
      </c>
      <c r="BA42" s="25" t="str">
        <f t="shared" si="25"/>
        <v/>
      </c>
      <c r="BB42" s="25" t="str">
        <f t="shared" si="26"/>
        <v/>
      </c>
      <c r="BC42" s="25" t="str">
        <f t="shared" si="27"/>
        <v/>
      </c>
      <c r="BD42" s="25" t="str">
        <f t="shared" si="28"/>
        <v/>
      </c>
      <c r="BE42" s="25" t="str">
        <f t="shared" si="29"/>
        <v/>
      </c>
      <c r="BF42" s="25" t="str">
        <f t="shared" si="30"/>
        <v/>
      </c>
      <c r="BG42" s="25" t="str">
        <f t="shared" si="31"/>
        <v/>
      </c>
      <c r="BH42" s="25" t="str">
        <f t="shared" si="32"/>
        <v/>
      </c>
      <c r="BI42" s="6" t="str">
        <f t="shared" si="33"/>
        <v/>
      </c>
      <c r="BJ42" s="6" t="str">
        <f t="shared" si="34"/>
        <v/>
      </c>
      <c r="BK42" s="6" t="str">
        <f t="shared" si="35"/>
        <v/>
      </c>
      <c r="BL42" s="6" t="str">
        <f t="shared" si="36"/>
        <v/>
      </c>
      <c r="BM42" s="6" t="str">
        <f t="shared" si="37"/>
        <v/>
      </c>
      <c r="BN42" s="6" t="str">
        <f t="shared" si="38"/>
        <v/>
      </c>
      <c r="BO42" s="6" t="str">
        <f t="shared" si="39"/>
        <v/>
      </c>
      <c r="BP42" s="6" t="str">
        <f t="shared" si="40"/>
        <v/>
      </c>
      <c r="BQ42" s="6" t="str">
        <f t="shared" si="41"/>
        <v/>
      </c>
      <c r="BR42" s="6" t="str">
        <f t="shared" si="42"/>
        <v/>
      </c>
      <c r="BS42" s="6" t="str">
        <f t="shared" si="43"/>
        <v/>
      </c>
      <c r="BT42" s="6" t="str">
        <f t="shared" si="44"/>
        <v/>
      </c>
      <c r="BU42" s="6" t="str">
        <f t="shared" si="45"/>
        <v/>
      </c>
      <c r="BV42" s="6" t="str">
        <f t="shared" si="46"/>
        <v/>
      </c>
      <c r="BW42" s="6" t="str">
        <f t="shared" si="47"/>
        <v/>
      </c>
      <c r="BX42" s="6" t="str">
        <f t="shared" si="48"/>
        <v/>
      </c>
    </row>
    <row r="43" spans="3:76" ht="21">
      <c r="C43" s="25">
        <v>33</v>
      </c>
      <c r="D43" s="50"/>
      <c r="E43" s="50"/>
      <c r="F43" s="51" t="s">
        <v>8</v>
      </c>
      <c r="M43" s="25" t="str">
        <f t="shared" si="49"/>
        <v>19</v>
      </c>
      <c r="N43" s="25" t="str">
        <f t="shared" si="50"/>
        <v>11</v>
      </c>
      <c r="O43" s="25" t="str">
        <f t="shared" si="51"/>
        <v>1</v>
      </c>
      <c r="P43" s="25" t="str">
        <f t="shared" si="52"/>
        <v>4</v>
      </c>
      <c r="Q43" s="25" t="str">
        <f t="shared" si="53"/>
        <v>yellow</v>
      </c>
      <c r="R43" s="25" t="str">
        <f t="shared" si="54"/>
        <v>False</v>
      </c>
      <c r="S43" s="25"/>
      <c r="T43" s="25" t="str">
        <f t="shared" si="55"/>
        <v>True</v>
      </c>
      <c r="AA43" s="25" t="str">
        <f t="shared" ref="AA43:AA74" si="56">IF(E43&lt;&gt;"","INSERT INTO DC_OnlineDevices ([Description], [MAC_ID], [Device Type], [Location Code])","")</f>
        <v/>
      </c>
      <c r="AB43" s="25" t="str">
        <f t="shared" ref="AB43:AB74" si="57">IF(E43&lt;&gt;"","VALUES ('"&amp;D43&amp;"', '"&amp;E43&amp;"', '100', '"&amp;$D$6&amp;"');","")</f>
        <v/>
      </c>
      <c r="AD43" s="25" t="str">
        <f t="shared" ref="AD43:AD74" si="58">IF(E43&lt;&gt;"","SET @TagID = SCOPE_IDENTITY();","")</f>
        <v/>
      </c>
      <c r="AE43" s="25" t="str">
        <f t="shared" ref="AE43:AE74" si="59">IF(E43&lt;&gt;"","INSERT INTO DC_ArcadeGameDef  ([Tag], [Cash Play Price], [Game Group ID], [Game Sub Group ID], [Asset Tag], [Allow Time Play], [TimeBetweenPlays], [ConsecutivePlays], [PulsePauseWidth], [Device_Interface], [TicketPulseWidth], ","")</f>
        <v/>
      </c>
      <c r="AF43" s="25" t="str">
        <f t="shared" ref="AF43:AF74" si="60">IF(E43&lt;&gt;"","[ElecronitcTickets], [ActiveButtonCount], [Button1_Value], [Button2_Value], [Button3_Value], [Button1_Pulses], [Button2_Pulses], [Button3_Pulses], [Model], [eclipse_HappyHour], [eclipse_BaseColor], [GlowOption], [CoinPerPulse], ","")</f>
        <v/>
      </c>
      <c r="AG43" s="25" t="str">
        <f t="shared" ref="AG43:AG74" si="61">IF(E43&lt;&gt;"","[HopperTimeOut], [CreditCardEnable], [MercyPoints], [SupplementalBackgrounds])","")</f>
        <v/>
      </c>
      <c r="AH43" s="25" t="str">
        <f t="shared" ref="AH43:AH74" si="62">IF(E43&lt;&gt;"","VALUES (@TagID, '2.0000', '"&amp;M43&amp;"', '"&amp;N43&amp;"', @TagID, '"&amp;R43&amp;"', '10', '3', '100', '"&amp;O43&amp;"', '3', '"&amp;T43&amp;"', '0', '0.0000', '0.0000', '0.0000', '0', '0', '0', '3', '-1', '"&amp;P43&amp;"', 'True', '1', '100', '"&amp;$S$11&amp;"', '0', 'False');","")</f>
        <v/>
      </c>
      <c r="AI43" s="25" t="str">
        <f t="shared" ref="AI43:AI74" si="63">IF(E43&lt;&gt;"","INSERT INTO DC_ArcadeReaderImages ([Tag], [ID], [Background], [Foreground], [DisplaySettings])","")</f>
        <v/>
      </c>
      <c r="AJ43" s="25" t="str">
        <f t="shared" ref="AJ43:AJ74" si="64">IF(E43&lt;&gt;"","VALUES (@TagID, '0', '-1', '-1', '1')","")</f>
        <v/>
      </c>
      <c r="AK43" s="25" t="str">
        <f t="shared" ref="AK43:AK74" si="65">IF(E43&lt;&gt;"","INSERT INTO DC_ArcadeReaderImages ([Tag], [ID], [Background], [Foreground], [DisplaySettings])","")</f>
        <v/>
      </c>
      <c r="AL43" s="25" t="str">
        <f t="shared" ref="AL43:AL74" si="66">IF(E43&lt;&gt;"","VALUES (@TagID, '1', '-1', '-1', '1')","")</f>
        <v/>
      </c>
      <c r="AM43" s="25" t="str">
        <f t="shared" ref="AM43:AM74" si="67">IF(E43&lt;&gt;"","INSERT INTO DC_ArcadeReaderImages ([Tag], [ID], [Background], [Foreground], [DisplaySettings])","")</f>
        <v/>
      </c>
      <c r="AN43" s="25" t="str">
        <f t="shared" ref="AN43:AN74" si="68">IF(E43&lt;&gt;"","VALUES (@TagID, '2', '-1', '-1', '1')","")</f>
        <v/>
      </c>
      <c r="AO43" s="25" t="str">
        <f t="shared" ref="AO43:AO74" si="69">IF(E43&lt;&gt;"","INSERT INTO DC_ArcadeReaderImages ([Tag], [ID], [Background], [Foreground], [DisplaySettings])","")</f>
        <v/>
      </c>
      <c r="AP43" s="25" t="str">
        <f t="shared" ref="AP43:AP74" si="70">IF(E43&lt;&gt;"","VALUES (@TagID, '3', '-1', '-1', '1')","")</f>
        <v/>
      </c>
      <c r="AQ43" s="25" t="str">
        <f t="shared" ref="AQ43:AQ74" si="71">IF(E43&lt;&gt;"","INSERT INTO DC_ArcadeReaderImages ([Tag], [ID], [Background], [Foreground], [DisplaySettings])","")</f>
        <v/>
      </c>
      <c r="AR43" s="25" t="str">
        <f t="shared" ref="AR43:AR74" si="72">IF(E43&lt;&gt;"","VALUES (@TagID, '4', '-1', '-1', '1')","")</f>
        <v/>
      </c>
      <c r="AS43" s="25" t="str">
        <f t="shared" ref="AS43:AS74" si="73">IF(E43&lt;&gt;"","INSERT INTO DC_ReaderDisplayProperties ([Tag],[Text],[X],[Y],[FontColor],[DisplayID],[ObjectID],[FontSize],[Width],[Height],[BackColor])","")</f>
        <v/>
      </c>
      <c r="AT43" s="25" t="str">
        <f t="shared" ref="AT43:AT74" si="74">IF(E43&lt;&gt;"","VALUES (@TagID, 'Play', '5', '3', '-16777216', '0', '0', '0', '-1', '-1', '0')","")</f>
        <v/>
      </c>
      <c r="AU43" s="25" t="str">
        <f t="shared" ref="AU43:AU74" si="75">IF(E43&lt;&gt;"","INSERT INTO DC_ReaderDisplayProperties ([Tag],[Text],[X],[Y],[FontColor],[DisplayID],[ObjectID],[FontSize],[Width],[Height],[BackColor])","")</f>
        <v/>
      </c>
      <c r="AV43" s="25" t="str">
        <f t="shared" ref="AV43:AV74" si="76">IF(E43&lt;&gt;"","VALUES (@TagID, '$0.00', '5', '104', '-16777216', '0', '1', '0', '-1', '-1', '0')","")</f>
        <v/>
      </c>
      <c r="AW43" s="25" t="str">
        <f t="shared" ref="AW43:AW74" si="77">IF(E43&lt;&gt;"","INSERT INTO DC_ReaderDisplayProperties ([Tag],[Text],[X],[Y],[FontColor],[DisplayID],[ObjectID],[FontSize],[Width],[Height],[BackColor])","")</f>
        <v/>
      </c>
      <c r="AX43" s="25" t="str">
        <f t="shared" ref="AX43:AX74" si="78">IF(E43&lt;&gt;"","VALUES (@TagID, 'Token', '208', '16', '-16777216', '0', '16', '0', '-1', '-1', '0')","")</f>
        <v/>
      </c>
      <c r="AY43" s="25" t="str">
        <f t="shared" ref="AY43:AY74" si="79">IF(E43&lt;&gt;"","INSERT INTO DC_ReaderDisplayProperties ([Tag],[Text],[X],[Y],[FontColor],[DisplayID],[ObjectID],[FontSize],[Width],[Height],[BackColor])","")</f>
        <v/>
      </c>
      <c r="AZ43" s="25" t="str">
        <f t="shared" ref="AZ43:AZ74" si="80">IF(E43&lt;&gt;"","VALUES (@TagID, '000000', '232', '56', '-16777216', '0', '17', '0', '-1', '-1', '0')","")</f>
        <v/>
      </c>
      <c r="BA43" s="25" t="str">
        <f t="shared" ref="BA43:BA74" si="81">IF(E43&lt;&gt;"","INSERT INTO DC_ReaderDisplayProperties ([Tag],[Text],[X],[Y],[FontColor],[DisplayID],[ObjectID],[FontSize],[Width],[Height],[BackColor])","")</f>
        <v/>
      </c>
      <c r="BB43" s="25" t="str">
        <f t="shared" ref="BB43:BB74" si="82">IF(E43&lt;&gt;"","VALUES (@TagID, 'Status Message', '8', '200', '-16777216', '0', '18', '0', '-1', '-1', '0')","")</f>
        <v/>
      </c>
      <c r="BC43" s="25" t="str">
        <f t="shared" ref="BC43:BC74" si="83">IF(E43&lt;&gt;"","INSERT INTO DC_ReaderDisplayProperties ([Tag],[Text],[X],[Y],[FontColor],[DisplayID],[ObjectID],[FontSize],[Width],[Height],[BackColor])","")</f>
        <v/>
      </c>
      <c r="BD43" s="25" t="str">
        <f t="shared" ref="BD43:BD74" si="84">IF(E43&lt;&gt;"","VALUES (@TagID, 'Josh Colby, Vibranium Member', '5', '3', '-16777216', '1', '2', '0', '-1', '-1', '0')","")</f>
        <v/>
      </c>
      <c r="BE43" s="25" t="str">
        <f t="shared" ref="BE43:BE74" si="85">IF(E43&lt;&gt;"","INSERT INTO DC_ReaderDisplayProperties ([Tag],[Text],[X],[Y],[FontColor],[DisplayID],[ObjectID],[FontSize],[Width],[Height],[BackColor])","")</f>
        <v/>
      </c>
      <c r="BF43" s="25" t="str">
        <f t="shared" ref="BF43:BF74" si="86">IF(E43&lt;&gt;"","VALUES (@TagID, 'Image', '28', '66', '-16777216', '1', '3', '0', '-1', '-1', '0')","")</f>
        <v/>
      </c>
      <c r="BG43" s="25" t="str">
        <f t="shared" ref="BG43:BG74" si="87">IF(E43&lt;&gt;"","INSERT INTO DC_ReaderDisplayProperties ([Tag],[Text],[X],[Y],[FontColor],[DisplayID],[ObjectID],[FontSize],[Width],[Height],[BackColor])","")</f>
        <v/>
      </c>
      <c r="BH43" s="25" t="str">
        <f t="shared" ref="BH43:BH74" si="88">IF(E43&lt;&gt;"","VALUES (@TagID, 'New Balance', '184', '76', '-16777216', '1', '4', '0', '-1', '-1', '0')","")</f>
        <v/>
      </c>
      <c r="BI43" s="6" t="str">
        <f t="shared" ref="BI43:BI74" si="89">IF(E43&lt;&gt;"","INSERT INTO DC_ReaderDisplayProperties ([Tag],[Text],[X],[Y],[FontColor],[DisplayID],[ObjectID],[FontSize],[Width],[Height],[BackColor])","")</f>
        <v/>
      </c>
      <c r="BJ43" s="6" t="str">
        <f t="shared" ref="BJ43:BJ74" si="90">IF(E43&lt;&gt;"","VALUES (@TagID, '$9999.00', '214', '134', '-16777216', '1', '5', '0', '-1', '-1', '0')","")</f>
        <v/>
      </c>
      <c r="BK43" s="6" t="str">
        <f t="shared" ref="BK43:BK74" si="91">IF(E43&lt;&gt;"","INSERT INTO DC_ReaderDisplayProperties ([Tag],[Text],[X],[Y],[FontColor],[DisplayID],[ObjectID],[FontSize],[Width],[Height],[BackColor])","")</f>
        <v/>
      </c>
      <c r="BL43" s="6" t="str">
        <f t="shared" ref="BL43:BL74" si="92">IF(E43&lt;&gt;"","VALUES (@TagID, 'Status Message', '16', '200', '-16777216', '1', '19', '0', '-1', '-1', '0')","")</f>
        <v/>
      </c>
      <c r="BM43" s="6" t="str">
        <f t="shared" ref="BM43:BM74" si="93">IF(E43&lt;&gt;"","INSERT INTO DC_ReaderDisplayProperties ([Tag],[Text],[X],[Y],[FontColor],[DisplayID],[ObjectID],[FontSize],[Width],[Height],[BackColor])","")</f>
        <v/>
      </c>
      <c r="BN43" s="6" t="str">
        <f t="shared" ref="BN43:BN74" si="94">IF(E43&lt;&gt;"","VALUES (@TagID, 'Happy Hour', '24', '16', '-16777216', '2', '6', '0', '-1', '-1', '0')","")</f>
        <v/>
      </c>
      <c r="BO43" s="6" t="str">
        <f t="shared" ref="BO43:BO74" si="95">IF(E43&lt;&gt;"","INSERT INTO DC_ReaderDisplayProperties ([Tag],[Text],[X],[Y],[FontColor],[DisplayID],[ObjectID],[FontSize],[Width],[Height],[BackColor])","")</f>
        <v/>
      </c>
      <c r="BP43" s="6" t="str">
        <f t="shared" ref="BP43:BP74" si="96">IF(E43&lt;&gt;"","VALUES (@TagID, '$99.99', '200', '80', '-16777216', '2', '8', '0', '-1', '-1', '0')","")</f>
        <v/>
      </c>
      <c r="BQ43" s="6" t="str">
        <f t="shared" ref="BQ43:BQ74" si="97">IF(E43&lt;&gt;"","INSERT INTO DC_ReaderDisplayProperties ([Tag],[Text],[X],[Y],[FontColor],[DisplayID],[ObjectID],[FontSize],[Width],[Height],[BackColor])","")</f>
        <v/>
      </c>
      <c r="BR43" s="6" t="str">
        <f t="shared" ref="BR43:BR74" si="98">IF(E43&lt;&gt;"","VALUES (@TagID, 'Status Message', '16', '200', '-16777216', '2', '20', '0', '-1', '-1', '0')","")</f>
        <v/>
      </c>
      <c r="BS43" s="6" t="str">
        <f t="shared" ref="BS43:BS74" si="99">IF(E43&lt;&gt;"","INSERT INTO DC_ReaderDisplayProperties ([Tag],[Text],[X],[Y],[FontColor],[DisplayID],[ObjectID],[FontSize],[Width],[Height],[BackColor])","")</f>
        <v/>
      </c>
      <c r="BT43" s="6" t="str">
        <f t="shared" ref="BT43:BT74" si="100">IF(E43&lt;&gt;"","VALUES (@TagID, '0000', '160', '152', '-16777216', '2', '21', '0', '-1', '-1', '0')","")</f>
        <v/>
      </c>
      <c r="BU43" s="6" t="str">
        <f t="shared" ref="BU43:BU74" si="101">IF(E43&lt;&gt;"","INSERT INTO DC_ReaderDisplayProperties ([Tag],[Text],[X],[Y],[FontColor],[DisplayID],[ObjectID],[FontSize],[Width],[Height],[BackColor])","")</f>
        <v/>
      </c>
      <c r="BV43" s="6" t="str">
        <f t="shared" ref="BV43:BV74" si="102">IF(E43&lt;&gt;"","VALUES (@TagID, 'Token', '24', '152', '-16777216', '2', '22', '0', '-1', '-1', '0')","")</f>
        <v/>
      </c>
      <c r="BW43" s="6" t="str">
        <f t="shared" ref="BW43:BW74" si="103">IF(E43&lt;&gt;"","INSERT INTO DC_ReaderDisplayProperties ([Tag],[Text],[X],[Y],[FontColor],[DisplayID],[ObjectID],[FontSize],[Width],[Height],[BackColor])","")</f>
        <v/>
      </c>
      <c r="BX43" s="6" t="str">
        <f t="shared" ref="BX43:BX74" si="104">IF(E43&lt;&gt;"","VALUES (@TagID, '000000', '54', '78', '-16777216', '3', '13', '2', '-1', '-1', '0')","")</f>
        <v/>
      </c>
    </row>
    <row r="44" spans="3:76" ht="21">
      <c r="C44" s="25">
        <v>34</v>
      </c>
      <c r="D44" s="50"/>
      <c r="E44" s="50"/>
      <c r="F44" s="51" t="s">
        <v>8</v>
      </c>
      <c r="M44" s="25" t="str">
        <f t="shared" si="49"/>
        <v>19</v>
      </c>
      <c r="N44" s="25" t="str">
        <f t="shared" si="50"/>
        <v>11</v>
      </c>
      <c r="O44" s="25" t="str">
        <f t="shared" si="51"/>
        <v>1</v>
      </c>
      <c r="P44" s="25" t="str">
        <f t="shared" si="52"/>
        <v>4</v>
      </c>
      <c r="Q44" s="25" t="str">
        <f t="shared" si="53"/>
        <v>yellow</v>
      </c>
      <c r="R44" s="25" t="str">
        <f t="shared" si="54"/>
        <v>False</v>
      </c>
      <c r="S44" s="25"/>
      <c r="T44" s="25" t="str">
        <f t="shared" si="55"/>
        <v>True</v>
      </c>
      <c r="AA44" s="25" t="str">
        <f t="shared" si="56"/>
        <v/>
      </c>
      <c r="AB44" s="25" t="str">
        <f t="shared" si="57"/>
        <v/>
      </c>
      <c r="AD44" s="25" t="str">
        <f t="shared" si="58"/>
        <v/>
      </c>
      <c r="AE44" s="25" t="str">
        <f t="shared" si="59"/>
        <v/>
      </c>
      <c r="AF44" s="25" t="str">
        <f t="shared" si="60"/>
        <v/>
      </c>
      <c r="AG44" s="25" t="str">
        <f t="shared" si="61"/>
        <v/>
      </c>
      <c r="AH44" s="25" t="str">
        <f t="shared" si="62"/>
        <v/>
      </c>
      <c r="AI44" s="25" t="str">
        <f t="shared" si="63"/>
        <v/>
      </c>
      <c r="AJ44" s="25" t="str">
        <f t="shared" si="64"/>
        <v/>
      </c>
      <c r="AK44" s="25" t="str">
        <f t="shared" si="65"/>
        <v/>
      </c>
      <c r="AL44" s="25" t="str">
        <f t="shared" si="66"/>
        <v/>
      </c>
      <c r="AM44" s="25" t="str">
        <f t="shared" si="67"/>
        <v/>
      </c>
      <c r="AN44" s="25" t="str">
        <f t="shared" si="68"/>
        <v/>
      </c>
      <c r="AO44" s="25" t="str">
        <f t="shared" si="69"/>
        <v/>
      </c>
      <c r="AP44" s="25" t="str">
        <f t="shared" si="70"/>
        <v/>
      </c>
      <c r="AQ44" s="25" t="str">
        <f t="shared" si="71"/>
        <v/>
      </c>
      <c r="AR44" s="25" t="str">
        <f t="shared" si="72"/>
        <v/>
      </c>
      <c r="AS44" s="25" t="str">
        <f t="shared" si="73"/>
        <v/>
      </c>
      <c r="AT44" s="25" t="str">
        <f t="shared" si="74"/>
        <v/>
      </c>
      <c r="AU44" s="25" t="str">
        <f t="shared" si="75"/>
        <v/>
      </c>
      <c r="AV44" s="25" t="str">
        <f t="shared" si="76"/>
        <v/>
      </c>
      <c r="AW44" s="25" t="str">
        <f t="shared" si="77"/>
        <v/>
      </c>
      <c r="AX44" s="25" t="str">
        <f t="shared" si="78"/>
        <v/>
      </c>
      <c r="AY44" s="25" t="str">
        <f t="shared" si="79"/>
        <v/>
      </c>
      <c r="AZ44" s="25" t="str">
        <f t="shared" si="80"/>
        <v/>
      </c>
      <c r="BA44" s="25" t="str">
        <f t="shared" si="81"/>
        <v/>
      </c>
      <c r="BB44" s="25" t="str">
        <f t="shared" si="82"/>
        <v/>
      </c>
      <c r="BC44" s="25" t="str">
        <f t="shared" si="83"/>
        <v/>
      </c>
      <c r="BD44" s="25" t="str">
        <f t="shared" si="84"/>
        <v/>
      </c>
      <c r="BE44" s="25" t="str">
        <f t="shared" si="85"/>
        <v/>
      </c>
      <c r="BF44" s="25" t="str">
        <f t="shared" si="86"/>
        <v/>
      </c>
      <c r="BG44" s="25" t="str">
        <f t="shared" si="87"/>
        <v/>
      </c>
      <c r="BH44" s="25" t="str">
        <f t="shared" si="88"/>
        <v/>
      </c>
      <c r="BI44" s="6" t="str">
        <f t="shared" si="89"/>
        <v/>
      </c>
      <c r="BJ44" s="6" t="str">
        <f t="shared" si="90"/>
        <v/>
      </c>
      <c r="BK44" s="6" t="str">
        <f t="shared" si="91"/>
        <v/>
      </c>
      <c r="BL44" s="6" t="str">
        <f t="shared" si="92"/>
        <v/>
      </c>
      <c r="BM44" s="6" t="str">
        <f t="shared" si="93"/>
        <v/>
      </c>
      <c r="BN44" s="6" t="str">
        <f t="shared" si="94"/>
        <v/>
      </c>
      <c r="BO44" s="6" t="str">
        <f t="shared" si="95"/>
        <v/>
      </c>
      <c r="BP44" s="6" t="str">
        <f t="shared" si="96"/>
        <v/>
      </c>
      <c r="BQ44" s="6" t="str">
        <f t="shared" si="97"/>
        <v/>
      </c>
      <c r="BR44" s="6" t="str">
        <f t="shared" si="98"/>
        <v/>
      </c>
      <c r="BS44" s="6" t="str">
        <f t="shared" si="99"/>
        <v/>
      </c>
      <c r="BT44" s="6" t="str">
        <f t="shared" si="100"/>
        <v/>
      </c>
      <c r="BU44" s="6" t="str">
        <f t="shared" si="101"/>
        <v/>
      </c>
      <c r="BV44" s="6" t="str">
        <f t="shared" si="102"/>
        <v/>
      </c>
      <c r="BW44" s="6" t="str">
        <f t="shared" si="103"/>
        <v/>
      </c>
      <c r="BX44" s="6" t="str">
        <f t="shared" si="104"/>
        <v/>
      </c>
    </row>
    <row r="45" spans="3:76" ht="21">
      <c r="C45" s="25">
        <v>35</v>
      </c>
      <c r="D45" s="50"/>
      <c r="E45" s="50"/>
      <c r="F45" s="51" t="s">
        <v>8</v>
      </c>
      <c r="M45" s="25" t="str">
        <f t="shared" si="49"/>
        <v>19</v>
      </c>
      <c r="N45" s="25" t="str">
        <f t="shared" si="50"/>
        <v>11</v>
      </c>
      <c r="O45" s="25" t="str">
        <f t="shared" si="51"/>
        <v>1</v>
      </c>
      <c r="P45" s="25" t="str">
        <f t="shared" si="52"/>
        <v>4</v>
      </c>
      <c r="Q45" s="25" t="str">
        <f t="shared" si="53"/>
        <v>yellow</v>
      </c>
      <c r="R45" s="25" t="str">
        <f t="shared" si="54"/>
        <v>False</v>
      </c>
      <c r="S45" s="25"/>
      <c r="T45" s="25" t="str">
        <f t="shared" si="55"/>
        <v>True</v>
      </c>
      <c r="AA45" s="25" t="str">
        <f t="shared" si="56"/>
        <v/>
      </c>
      <c r="AB45" s="25" t="str">
        <f t="shared" si="57"/>
        <v/>
      </c>
      <c r="AD45" s="25" t="str">
        <f t="shared" si="58"/>
        <v/>
      </c>
      <c r="AE45" s="25" t="str">
        <f t="shared" si="59"/>
        <v/>
      </c>
      <c r="AF45" s="25" t="str">
        <f t="shared" si="60"/>
        <v/>
      </c>
      <c r="AG45" s="25" t="str">
        <f t="shared" si="61"/>
        <v/>
      </c>
      <c r="AH45" s="25" t="str">
        <f t="shared" si="62"/>
        <v/>
      </c>
      <c r="AI45" s="25" t="str">
        <f t="shared" si="63"/>
        <v/>
      </c>
      <c r="AJ45" s="25" t="str">
        <f t="shared" si="64"/>
        <v/>
      </c>
      <c r="AK45" s="25" t="str">
        <f t="shared" si="65"/>
        <v/>
      </c>
      <c r="AL45" s="25" t="str">
        <f t="shared" si="66"/>
        <v/>
      </c>
      <c r="AM45" s="25" t="str">
        <f t="shared" si="67"/>
        <v/>
      </c>
      <c r="AN45" s="25" t="str">
        <f t="shared" si="68"/>
        <v/>
      </c>
      <c r="AO45" s="25" t="str">
        <f t="shared" si="69"/>
        <v/>
      </c>
      <c r="AP45" s="25" t="str">
        <f t="shared" si="70"/>
        <v/>
      </c>
      <c r="AQ45" s="25" t="str">
        <f t="shared" si="71"/>
        <v/>
      </c>
      <c r="AR45" s="25" t="str">
        <f t="shared" si="72"/>
        <v/>
      </c>
      <c r="AS45" s="25" t="str">
        <f t="shared" si="73"/>
        <v/>
      </c>
      <c r="AT45" s="25" t="str">
        <f t="shared" si="74"/>
        <v/>
      </c>
      <c r="AU45" s="25" t="str">
        <f t="shared" si="75"/>
        <v/>
      </c>
      <c r="AV45" s="25" t="str">
        <f t="shared" si="76"/>
        <v/>
      </c>
      <c r="AW45" s="25" t="str">
        <f t="shared" si="77"/>
        <v/>
      </c>
      <c r="AX45" s="25" t="str">
        <f t="shared" si="78"/>
        <v/>
      </c>
      <c r="AY45" s="25" t="str">
        <f t="shared" si="79"/>
        <v/>
      </c>
      <c r="AZ45" s="25" t="str">
        <f t="shared" si="80"/>
        <v/>
      </c>
      <c r="BA45" s="25" t="str">
        <f t="shared" si="81"/>
        <v/>
      </c>
      <c r="BB45" s="25" t="str">
        <f t="shared" si="82"/>
        <v/>
      </c>
      <c r="BC45" s="25" t="str">
        <f t="shared" si="83"/>
        <v/>
      </c>
      <c r="BD45" s="25" t="str">
        <f t="shared" si="84"/>
        <v/>
      </c>
      <c r="BE45" s="25" t="str">
        <f t="shared" si="85"/>
        <v/>
      </c>
      <c r="BF45" s="25" t="str">
        <f t="shared" si="86"/>
        <v/>
      </c>
      <c r="BG45" s="25" t="str">
        <f t="shared" si="87"/>
        <v/>
      </c>
      <c r="BH45" s="25" t="str">
        <f t="shared" si="88"/>
        <v/>
      </c>
      <c r="BI45" s="6" t="str">
        <f t="shared" si="89"/>
        <v/>
      </c>
      <c r="BJ45" s="6" t="str">
        <f t="shared" si="90"/>
        <v/>
      </c>
      <c r="BK45" s="6" t="str">
        <f t="shared" si="91"/>
        <v/>
      </c>
      <c r="BL45" s="6" t="str">
        <f t="shared" si="92"/>
        <v/>
      </c>
      <c r="BM45" s="6" t="str">
        <f t="shared" si="93"/>
        <v/>
      </c>
      <c r="BN45" s="6" t="str">
        <f t="shared" si="94"/>
        <v/>
      </c>
      <c r="BO45" s="6" t="str">
        <f t="shared" si="95"/>
        <v/>
      </c>
      <c r="BP45" s="6" t="str">
        <f t="shared" si="96"/>
        <v/>
      </c>
      <c r="BQ45" s="6" t="str">
        <f t="shared" si="97"/>
        <v/>
      </c>
      <c r="BR45" s="6" t="str">
        <f t="shared" si="98"/>
        <v/>
      </c>
      <c r="BS45" s="6" t="str">
        <f t="shared" si="99"/>
        <v/>
      </c>
      <c r="BT45" s="6" t="str">
        <f t="shared" si="100"/>
        <v/>
      </c>
      <c r="BU45" s="6" t="str">
        <f t="shared" si="101"/>
        <v/>
      </c>
      <c r="BV45" s="6" t="str">
        <f t="shared" si="102"/>
        <v/>
      </c>
      <c r="BW45" s="6" t="str">
        <f t="shared" si="103"/>
        <v/>
      </c>
      <c r="BX45" s="6" t="str">
        <f t="shared" si="104"/>
        <v/>
      </c>
    </row>
    <row r="46" spans="3:76" ht="21">
      <c r="C46" s="25">
        <v>36</v>
      </c>
      <c r="D46" s="50"/>
      <c r="E46" s="50"/>
      <c r="F46" s="51" t="s">
        <v>8</v>
      </c>
      <c r="M46" s="25" t="str">
        <f t="shared" si="49"/>
        <v>19</v>
      </c>
      <c r="N46" s="25" t="str">
        <f t="shared" si="50"/>
        <v>11</v>
      </c>
      <c r="O46" s="25" t="str">
        <f t="shared" si="51"/>
        <v>1</v>
      </c>
      <c r="P46" s="25" t="str">
        <f t="shared" si="52"/>
        <v>4</v>
      </c>
      <c r="Q46" s="25" t="str">
        <f t="shared" si="53"/>
        <v>yellow</v>
      </c>
      <c r="R46" s="25" t="str">
        <f t="shared" si="54"/>
        <v>False</v>
      </c>
      <c r="S46" s="25"/>
      <c r="T46" s="25" t="str">
        <f t="shared" si="55"/>
        <v>True</v>
      </c>
      <c r="AA46" s="25" t="str">
        <f t="shared" si="56"/>
        <v/>
      </c>
      <c r="AB46" s="25" t="str">
        <f t="shared" si="57"/>
        <v/>
      </c>
      <c r="AD46" s="25" t="str">
        <f t="shared" si="58"/>
        <v/>
      </c>
      <c r="AE46" s="25" t="str">
        <f t="shared" si="59"/>
        <v/>
      </c>
      <c r="AF46" s="25" t="str">
        <f t="shared" si="60"/>
        <v/>
      </c>
      <c r="AG46" s="25" t="str">
        <f t="shared" si="61"/>
        <v/>
      </c>
      <c r="AH46" s="25" t="str">
        <f t="shared" si="62"/>
        <v/>
      </c>
      <c r="AI46" s="25" t="str">
        <f t="shared" si="63"/>
        <v/>
      </c>
      <c r="AJ46" s="25" t="str">
        <f t="shared" si="64"/>
        <v/>
      </c>
      <c r="AK46" s="25" t="str">
        <f t="shared" si="65"/>
        <v/>
      </c>
      <c r="AL46" s="25" t="str">
        <f t="shared" si="66"/>
        <v/>
      </c>
      <c r="AM46" s="25" t="str">
        <f t="shared" si="67"/>
        <v/>
      </c>
      <c r="AN46" s="25" t="str">
        <f t="shared" si="68"/>
        <v/>
      </c>
      <c r="AO46" s="25" t="str">
        <f t="shared" si="69"/>
        <v/>
      </c>
      <c r="AP46" s="25" t="str">
        <f t="shared" si="70"/>
        <v/>
      </c>
      <c r="AQ46" s="25" t="str">
        <f t="shared" si="71"/>
        <v/>
      </c>
      <c r="AR46" s="25" t="str">
        <f t="shared" si="72"/>
        <v/>
      </c>
      <c r="AS46" s="25" t="str">
        <f t="shared" si="73"/>
        <v/>
      </c>
      <c r="AT46" s="25" t="str">
        <f t="shared" si="74"/>
        <v/>
      </c>
      <c r="AU46" s="25" t="str">
        <f t="shared" si="75"/>
        <v/>
      </c>
      <c r="AV46" s="25" t="str">
        <f t="shared" si="76"/>
        <v/>
      </c>
      <c r="AW46" s="25" t="str">
        <f t="shared" si="77"/>
        <v/>
      </c>
      <c r="AX46" s="25" t="str">
        <f t="shared" si="78"/>
        <v/>
      </c>
      <c r="AY46" s="25" t="str">
        <f t="shared" si="79"/>
        <v/>
      </c>
      <c r="AZ46" s="25" t="str">
        <f t="shared" si="80"/>
        <v/>
      </c>
      <c r="BA46" s="25" t="str">
        <f t="shared" si="81"/>
        <v/>
      </c>
      <c r="BB46" s="25" t="str">
        <f t="shared" si="82"/>
        <v/>
      </c>
      <c r="BC46" s="25" t="str">
        <f t="shared" si="83"/>
        <v/>
      </c>
      <c r="BD46" s="25" t="str">
        <f t="shared" si="84"/>
        <v/>
      </c>
      <c r="BE46" s="25" t="str">
        <f t="shared" si="85"/>
        <v/>
      </c>
      <c r="BF46" s="25" t="str">
        <f t="shared" si="86"/>
        <v/>
      </c>
      <c r="BG46" s="25" t="str">
        <f t="shared" si="87"/>
        <v/>
      </c>
      <c r="BH46" s="25" t="str">
        <f t="shared" si="88"/>
        <v/>
      </c>
      <c r="BI46" s="6" t="str">
        <f t="shared" si="89"/>
        <v/>
      </c>
      <c r="BJ46" s="6" t="str">
        <f t="shared" si="90"/>
        <v/>
      </c>
      <c r="BK46" s="6" t="str">
        <f t="shared" si="91"/>
        <v/>
      </c>
      <c r="BL46" s="6" t="str">
        <f t="shared" si="92"/>
        <v/>
      </c>
      <c r="BM46" s="6" t="str">
        <f t="shared" si="93"/>
        <v/>
      </c>
      <c r="BN46" s="6" t="str">
        <f t="shared" si="94"/>
        <v/>
      </c>
      <c r="BO46" s="6" t="str">
        <f t="shared" si="95"/>
        <v/>
      </c>
      <c r="BP46" s="6" t="str">
        <f t="shared" si="96"/>
        <v/>
      </c>
      <c r="BQ46" s="6" t="str">
        <f t="shared" si="97"/>
        <v/>
      </c>
      <c r="BR46" s="6" t="str">
        <f t="shared" si="98"/>
        <v/>
      </c>
      <c r="BS46" s="6" t="str">
        <f t="shared" si="99"/>
        <v/>
      </c>
      <c r="BT46" s="6" t="str">
        <f t="shared" si="100"/>
        <v/>
      </c>
      <c r="BU46" s="6" t="str">
        <f t="shared" si="101"/>
        <v/>
      </c>
      <c r="BV46" s="6" t="str">
        <f t="shared" si="102"/>
        <v/>
      </c>
      <c r="BW46" s="6" t="str">
        <f t="shared" si="103"/>
        <v/>
      </c>
      <c r="BX46" s="6" t="str">
        <f t="shared" si="104"/>
        <v/>
      </c>
    </row>
    <row r="47" spans="3:76" ht="21">
      <c r="C47" s="25">
        <v>37</v>
      </c>
      <c r="D47" s="50"/>
      <c r="E47" s="50"/>
      <c r="F47" s="51" t="s">
        <v>8</v>
      </c>
      <c r="M47" s="25" t="str">
        <f t="shared" si="49"/>
        <v>19</v>
      </c>
      <c r="N47" s="25" t="str">
        <f t="shared" si="50"/>
        <v>11</v>
      </c>
      <c r="O47" s="25" t="str">
        <f t="shared" si="51"/>
        <v>1</v>
      </c>
      <c r="P47" s="25" t="str">
        <f t="shared" si="52"/>
        <v>4</v>
      </c>
      <c r="Q47" s="25" t="str">
        <f t="shared" si="53"/>
        <v>yellow</v>
      </c>
      <c r="R47" s="25" t="str">
        <f t="shared" si="54"/>
        <v>False</v>
      </c>
      <c r="S47" s="25"/>
      <c r="T47" s="25" t="str">
        <f t="shared" si="55"/>
        <v>True</v>
      </c>
      <c r="AA47" s="25" t="str">
        <f t="shared" si="56"/>
        <v/>
      </c>
      <c r="AB47" s="25" t="str">
        <f t="shared" si="57"/>
        <v/>
      </c>
      <c r="AD47" s="25" t="str">
        <f t="shared" si="58"/>
        <v/>
      </c>
      <c r="AE47" s="25" t="str">
        <f t="shared" si="59"/>
        <v/>
      </c>
      <c r="AF47" s="25" t="str">
        <f t="shared" si="60"/>
        <v/>
      </c>
      <c r="AG47" s="25" t="str">
        <f t="shared" si="61"/>
        <v/>
      </c>
      <c r="AH47" s="25" t="str">
        <f t="shared" si="62"/>
        <v/>
      </c>
      <c r="AI47" s="25" t="str">
        <f t="shared" si="63"/>
        <v/>
      </c>
      <c r="AJ47" s="25" t="str">
        <f t="shared" si="64"/>
        <v/>
      </c>
      <c r="AK47" s="25" t="str">
        <f t="shared" si="65"/>
        <v/>
      </c>
      <c r="AL47" s="25" t="str">
        <f t="shared" si="66"/>
        <v/>
      </c>
      <c r="AM47" s="25" t="str">
        <f t="shared" si="67"/>
        <v/>
      </c>
      <c r="AN47" s="25" t="str">
        <f t="shared" si="68"/>
        <v/>
      </c>
      <c r="AO47" s="25" t="str">
        <f t="shared" si="69"/>
        <v/>
      </c>
      <c r="AP47" s="25" t="str">
        <f t="shared" si="70"/>
        <v/>
      </c>
      <c r="AQ47" s="25" t="str">
        <f t="shared" si="71"/>
        <v/>
      </c>
      <c r="AR47" s="25" t="str">
        <f t="shared" si="72"/>
        <v/>
      </c>
      <c r="AS47" s="25" t="str">
        <f t="shared" si="73"/>
        <v/>
      </c>
      <c r="AT47" s="25" t="str">
        <f t="shared" si="74"/>
        <v/>
      </c>
      <c r="AU47" s="25" t="str">
        <f t="shared" si="75"/>
        <v/>
      </c>
      <c r="AV47" s="25" t="str">
        <f t="shared" si="76"/>
        <v/>
      </c>
      <c r="AW47" s="25" t="str">
        <f t="shared" si="77"/>
        <v/>
      </c>
      <c r="AX47" s="25" t="str">
        <f t="shared" si="78"/>
        <v/>
      </c>
      <c r="AY47" s="25" t="str">
        <f t="shared" si="79"/>
        <v/>
      </c>
      <c r="AZ47" s="25" t="str">
        <f t="shared" si="80"/>
        <v/>
      </c>
      <c r="BA47" s="25" t="str">
        <f t="shared" si="81"/>
        <v/>
      </c>
      <c r="BB47" s="25" t="str">
        <f t="shared" si="82"/>
        <v/>
      </c>
      <c r="BC47" s="25" t="str">
        <f t="shared" si="83"/>
        <v/>
      </c>
      <c r="BD47" s="25" t="str">
        <f t="shared" si="84"/>
        <v/>
      </c>
      <c r="BE47" s="25" t="str">
        <f t="shared" si="85"/>
        <v/>
      </c>
      <c r="BF47" s="25" t="str">
        <f t="shared" si="86"/>
        <v/>
      </c>
      <c r="BG47" s="25" t="str">
        <f t="shared" si="87"/>
        <v/>
      </c>
      <c r="BH47" s="25" t="str">
        <f t="shared" si="88"/>
        <v/>
      </c>
      <c r="BI47" s="6" t="str">
        <f t="shared" si="89"/>
        <v/>
      </c>
      <c r="BJ47" s="6" t="str">
        <f t="shared" si="90"/>
        <v/>
      </c>
      <c r="BK47" s="6" t="str">
        <f t="shared" si="91"/>
        <v/>
      </c>
      <c r="BL47" s="6" t="str">
        <f t="shared" si="92"/>
        <v/>
      </c>
      <c r="BM47" s="6" t="str">
        <f t="shared" si="93"/>
        <v/>
      </c>
      <c r="BN47" s="6" t="str">
        <f t="shared" si="94"/>
        <v/>
      </c>
      <c r="BO47" s="6" t="str">
        <f t="shared" si="95"/>
        <v/>
      </c>
      <c r="BP47" s="6" t="str">
        <f t="shared" si="96"/>
        <v/>
      </c>
      <c r="BQ47" s="6" t="str">
        <f t="shared" si="97"/>
        <v/>
      </c>
      <c r="BR47" s="6" t="str">
        <f t="shared" si="98"/>
        <v/>
      </c>
      <c r="BS47" s="6" t="str">
        <f t="shared" si="99"/>
        <v/>
      </c>
      <c r="BT47" s="6" t="str">
        <f t="shared" si="100"/>
        <v/>
      </c>
      <c r="BU47" s="6" t="str">
        <f t="shared" si="101"/>
        <v/>
      </c>
      <c r="BV47" s="6" t="str">
        <f t="shared" si="102"/>
        <v/>
      </c>
      <c r="BW47" s="6" t="str">
        <f t="shared" si="103"/>
        <v/>
      </c>
      <c r="BX47" s="6" t="str">
        <f t="shared" si="104"/>
        <v/>
      </c>
    </row>
    <row r="48" spans="3:76" ht="21">
      <c r="C48" s="25">
        <v>38</v>
      </c>
      <c r="D48" s="50"/>
      <c r="E48" s="50"/>
      <c r="F48" s="51" t="s">
        <v>8</v>
      </c>
      <c r="M48" s="25" t="str">
        <f t="shared" si="49"/>
        <v>19</v>
      </c>
      <c r="N48" s="25" t="str">
        <f t="shared" si="50"/>
        <v>11</v>
      </c>
      <c r="O48" s="25" t="str">
        <f t="shared" si="51"/>
        <v>1</v>
      </c>
      <c r="P48" s="25" t="str">
        <f t="shared" si="52"/>
        <v>4</v>
      </c>
      <c r="Q48" s="25" t="str">
        <f t="shared" si="53"/>
        <v>yellow</v>
      </c>
      <c r="R48" s="25" t="str">
        <f t="shared" si="54"/>
        <v>False</v>
      </c>
      <c r="S48" s="25"/>
      <c r="T48" s="25" t="str">
        <f t="shared" si="55"/>
        <v>True</v>
      </c>
      <c r="AA48" s="25" t="str">
        <f t="shared" si="56"/>
        <v/>
      </c>
      <c r="AB48" s="25" t="str">
        <f t="shared" si="57"/>
        <v/>
      </c>
      <c r="AD48" s="25" t="str">
        <f t="shared" si="58"/>
        <v/>
      </c>
      <c r="AE48" s="25" t="str">
        <f t="shared" si="59"/>
        <v/>
      </c>
      <c r="AF48" s="25" t="str">
        <f t="shared" si="60"/>
        <v/>
      </c>
      <c r="AG48" s="25" t="str">
        <f t="shared" si="61"/>
        <v/>
      </c>
      <c r="AH48" s="25" t="str">
        <f t="shared" si="62"/>
        <v/>
      </c>
      <c r="AI48" s="25" t="str">
        <f t="shared" si="63"/>
        <v/>
      </c>
      <c r="AJ48" s="25" t="str">
        <f t="shared" si="64"/>
        <v/>
      </c>
      <c r="AK48" s="25" t="str">
        <f t="shared" si="65"/>
        <v/>
      </c>
      <c r="AL48" s="25" t="str">
        <f t="shared" si="66"/>
        <v/>
      </c>
      <c r="AM48" s="25" t="str">
        <f t="shared" si="67"/>
        <v/>
      </c>
      <c r="AN48" s="25" t="str">
        <f t="shared" si="68"/>
        <v/>
      </c>
      <c r="AO48" s="25" t="str">
        <f t="shared" si="69"/>
        <v/>
      </c>
      <c r="AP48" s="25" t="str">
        <f t="shared" si="70"/>
        <v/>
      </c>
      <c r="AQ48" s="25" t="str">
        <f t="shared" si="71"/>
        <v/>
      </c>
      <c r="AR48" s="25" t="str">
        <f t="shared" si="72"/>
        <v/>
      </c>
      <c r="AS48" s="25" t="str">
        <f t="shared" si="73"/>
        <v/>
      </c>
      <c r="AT48" s="25" t="str">
        <f t="shared" si="74"/>
        <v/>
      </c>
      <c r="AU48" s="25" t="str">
        <f t="shared" si="75"/>
        <v/>
      </c>
      <c r="AV48" s="25" t="str">
        <f t="shared" si="76"/>
        <v/>
      </c>
      <c r="AW48" s="25" t="str">
        <f t="shared" si="77"/>
        <v/>
      </c>
      <c r="AX48" s="25" t="str">
        <f t="shared" si="78"/>
        <v/>
      </c>
      <c r="AY48" s="25" t="str">
        <f t="shared" si="79"/>
        <v/>
      </c>
      <c r="AZ48" s="25" t="str">
        <f t="shared" si="80"/>
        <v/>
      </c>
      <c r="BA48" s="25" t="str">
        <f t="shared" si="81"/>
        <v/>
      </c>
      <c r="BB48" s="25" t="str">
        <f t="shared" si="82"/>
        <v/>
      </c>
      <c r="BC48" s="25" t="str">
        <f t="shared" si="83"/>
        <v/>
      </c>
      <c r="BD48" s="25" t="str">
        <f t="shared" si="84"/>
        <v/>
      </c>
      <c r="BE48" s="25" t="str">
        <f t="shared" si="85"/>
        <v/>
      </c>
      <c r="BF48" s="25" t="str">
        <f t="shared" si="86"/>
        <v/>
      </c>
      <c r="BG48" s="25" t="str">
        <f t="shared" si="87"/>
        <v/>
      </c>
      <c r="BH48" s="25" t="str">
        <f t="shared" si="88"/>
        <v/>
      </c>
      <c r="BI48" s="6" t="str">
        <f t="shared" si="89"/>
        <v/>
      </c>
      <c r="BJ48" s="6" t="str">
        <f t="shared" si="90"/>
        <v/>
      </c>
      <c r="BK48" s="6" t="str">
        <f t="shared" si="91"/>
        <v/>
      </c>
      <c r="BL48" s="6" t="str">
        <f t="shared" si="92"/>
        <v/>
      </c>
      <c r="BM48" s="6" t="str">
        <f t="shared" si="93"/>
        <v/>
      </c>
      <c r="BN48" s="6" t="str">
        <f t="shared" si="94"/>
        <v/>
      </c>
      <c r="BO48" s="6" t="str">
        <f t="shared" si="95"/>
        <v/>
      </c>
      <c r="BP48" s="6" t="str">
        <f t="shared" si="96"/>
        <v/>
      </c>
      <c r="BQ48" s="6" t="str">
        <f t="shared" si="97"/>
        <v/>
      </c>
      <c r="BR48" s="6" t="str">
        <f t="shared" si="98"/>
        <v/>
      </c>
      <c r="BS48" s="6" t="str">
        <f t="shared" si="99"/>
        <v/>
      </c>
      <c r="BT48" s="6" t="str">
        <f t="shared" si="100"/>
        <v/>
      </c>
      <c r="BU48" s="6" t="str">
        <f t="shared" si="101"/>
        <v/>
      </c>
      <c r="BV48" s="6" t="str">
        <f t="shared" si="102"/>
        <v/>
      </c>
      <c r="BW48" s="6" t="str">
        <f t="shared" si="103"/>
        <v/>
      </c>
      <c r="BX48" s="6" t="str">
        <f t="shared" si="104"/>
        <v/>
      </c>
    </row>
    <row r="49" spans="3:76" ht="21">
      <c r="C49" s="25">
        <v>39</v>
      </c>
      <c r="D49" s="50"/>
      <c r="E49" s="50"/>
      <c r="F49" s="51" t="s">
        <v>8</v>
      </c>
      <c r="M49" s="25" t="str">
        <f t="shared" si="49"/>
        <v>19</v>
      </c>
      <c r="N49" s="25" t="str">
        <f t="shared" si="50"/>
        <v>11</v>
      </c>
      <c r="O49" s="25" t="str">
        <f t="shared" si="51"/>
        <v>1</v>
      </c>
      <c r="P49" s="25" t="str">
        <f t="shared" si="52"/>
        <v>4</v>
      </c>
      <c r="Q49" s="25" t="str">
        <f t="shared" si="53"/>
        <v>yellow</v>
      </c>
      <c r="R49" s="25" t="str">
        <f t="shared" si="54"/>
        <v>False</v>
      </c>
      <c r="S49" s="25"/>
      <c r="T49" s="25" t="str">
        <f t="shared" si="55"/>
        <v>True</v>
      </c>
      <c r="AA49" s="25" t="str">
        <f t="shared" si="56"/>
        <v/>
      </c>
      <c r="AB49" s="25" t="str">
        <f t="shared" si="57"/>
        <v/>
      </c>
      <c r="AD49" s="25" t="str">
        <f t="shared" si="58"/>
        <v/>
      </c>
      <c r="AE49" s="25" t="str">
        <f t="shared" si="59"/>
        <v/>
      </c>
      <c r="AF49" s="25" t="str">
        <f t="shared" si="60"/>
        <v/>
      </c>
      <c r="AG49" s="25" t="str">
        <f t="shared" si="61"/>
        <v/>
      </c>
      <c r="AH49" s="25" t="str">
        <f t="shared" si="62"/>
        <v/>
      </c>
      <c r="AI49" s="25" t="str">
        <f t="shared" si="63"/>
        <v/>
      </c>
      <c r="AJ49" s="25" t="str">
        <f t="shared" si="64"/>
        <v/>
      </c>
      <c r="AK49" s="25" t="str">
        <f t="shared" si="65"/>
        <v/>
      </c>
      <c r="AL49" s="25" t="str">
        <f t="shared" si="66"/>
        <v/>
      </c>
      <c r="AM49" s="25" t="str">
        <f t="shared" si="67"/>
        <v/>
      </c>
      <c r="AN49" s="25" t="str">
        <f t="shared" si="68"/>
        <v/>
      </c>
      <c r="AO49" s="25" t="str">
        <f t="shared" si="69"/>
        <v/>
      </c>
      <c r="AP49" s="25" t="str">
        <f t="shared" si="70"/>
        <v/>
      </c>
      <c r="AQ49" s="25" t="str">
        <f t="shared" si="71"/>
        <v/>
      </c>
      <c r="AR49" s="25" t="str">
        <f t="shared" si="72"/>
        <v/>
      </c>
      <c r="AS49" s="25" t="str">
        <f t="shared" si="73"/>
        <v/>
      </c>
      <c r="AT49" s="25" t="str">
        <f t="shared" si="74"/>
        <v/>
      </c>
      <c r="AU49" s="25" t="str">
        <f t="shared" si="75"/>
        <v/>
      </c>
      <c r="AV49" s="25" t="str">
        <f t="shared" si="76"/>
        <v/>
      </c>
      <c r="AW49" s="25" t="str">
        <f t="shared" si="77"/>
        <v/>
      </c>
      <c r="AX49" s="25" t="str">
        <f t="shared" si="78"/>
        <v/>
      </c>
      <c r="AY49" s="25" t="str">
        <f t="shared" si="79"/>
        <v/>
      </c>
      <c r="AZ49" s="25" t="str">
        <f t="shared" si="80"/>
        <v/>
      </c>
      <c r="BA49" s="25" t="str">
        <f t="shared" si="81"/>
        <v/>
      </c>
      <c r="BB49" s="25" t="str">
        <f t="shared" si="82"/>
        <v/>
      </c>
      <c r="BC49" s="25" t="str">
        <f t="shared" si="83"/>
        <v/>
      </c>
      <c r="BD49" s="25" t="str">
        <f t="shared" si="84"/>
        <v/>
      </c>
      <c r="BE49" s="25" t="str">
        <f t="shared" si="85"/>
        <v/>
      </c>
      <c r="BF49" s="25" t="str">
        <f t="shared" si="86"/>
        <v/>
      </c>
      <c r="BG49" s="25" t="str">
        <f t="shared" si="87"/>
        <v/>
      </c>
      <c r="BH49" s="25" t="str">
        <f t="shared" si="88"/>
        <v/>
      </c>
      <c r="BI49" s="6" t="str">
        <f t="shared" si="89"/>
        <v/>
      </c>
      <c r="BJ49" s="6" t="str">
        <f t="shared" si="90"/>
        <v/>
      </c>
      <c r="BK49" s="6" t="str">
        <f t="shared" si="91"/>
        <v/>
      </c>
      <c r="BL49" s="6" t="str">
        <f t="shared" si="92"/>
        <v/>
      </c>
      <c r="BM49" s="6" t="str">
        <f t="shared" si="93"/>
        <v/>
      </c>
      <c r="BN49" s="6" t="str">
        <f t="shared" si="94"/>
        <v/>
      </c>
      <c r="BO49" s="6" t="str">
        <f t="shared" si="95"/>
        <v/>
      </c>
      <c r="BP49" s="6" t="str">
        <f t="shared" si="96"/>
        <v/>
      </c>
      <c r="BQ49" s="6" t="str">
        <f t="shared" si="97"/>
        <v/>
      </c>
      <c r="BR49" s="6" t="str">
        <f t="shared" si="98"/>
        <v/>
      </c>
      <c r="BS49" s="6" t="str">
        <f t="shared" si="99"/>
        <v/>
      </c>
      <c r="BT49" s="6" t="str">
        <f t="shared" si="100"/>
        <v/>
      </c>
      <c r="BU49" s="6" t="str">
        <f t="shared" si="101"/>
        <v/>
      </c>
      <c r="BV49" s="6" t="str">
        <f t="shared" si="102"/>
        <v/>
      </c>
      <c r="BW49" s="6" t="str">
        <f t="shared" si="103"/>
        <v/>
      </c>
      <c r="BX49" s="6" t="str">
        <f t="shared" si="104"/>
        <v/>
      </c>
    </row>
    <row r="50" spans="3:76" ht="21">
      <c r="C50" s="25">
        <v>40</v>
      </c>
      <c r="D50" s="50"/>
      <c r="E50" s="50"/>
      <c r="F50" s="51" t="s">
        <v>8</v>
      </c>
      <c r="M50" s="25" t="str">
        <f t="shared" si="49"/>
        <v>19</v>
      </c>
      <c r="N50" s="25" t="str">
        <f t="shared" si="50"/>
        <v>11</v>
      </c>
      <c r="O50" s="25" t="str">
        <f t="shared" si="51"/>
        <v>1</v>
      </c>
      <c r="P50" s="25" t="str">
        <f t="shared" si="52"/>
        <v>4</v>
      </c>
      <c r="Q50" s="25" t="str">
        <f t="shared" si="53"/>
        <v>yellow</v>
      </c>
      <c r="R50" s="25" t="str">
        <f t="shared" si="54"/>
        <v>False</v>
      </c>
      <c r="S50" s="25"/>
      <c r="T50" s="25" t="str">
        <f t="shared" si="55"/>
        <v>True</v>
      </c>
      <c r="AA50" s="25" t="str">
        <f t="shared" si="56"/>
        <v/>
      </c>
      <c r="AB50" s="25" t="str">
        <f t="shared" si="57"/>
        <v/>
      </c>
      <c r="AD50" s="25" t="str">
        <f t="shared" si="58"/>
        <v/>
      </c>
      <c r="AE50" s="25" t="str">
        <f t="shared" si="59"/>
        <v/>
      </c>
      <c r="AF50" s="25" t="str">
        <f t="shared" si="60"/>
        <v/>
      </c>
      <c r="AG50" s="25" t="str">
        <f t="shared" si="61"/>
        <v/>
      </c>
      <c r="AH50" s="25" t="str">
        <f t="shared" si="62"/>
        <v/>
      </c>
      <c r="AI50" s="25" t="str">
        <f t="shared" si="63"/>
        <v/>
      </c>
      <c r="AJ50" s="25" t="str">
        <f t="shared" si="64"/>
        <v/>
      </c>
      <c r="AK50" s="25" t="str">
        <f t="shared" si="65"/>
        <v/>
      </c>
      <c r="AL50" s="25" t="str">
        <f t="shared" si="66"/>
        <v/>
      </c>
      <c r="AM50" s="25" t="str">
        <f t="shared" si="67"/>
        <v/>
      </c>
      <c r="AN50" s="25" t="str">
        <f t="shared" si="68"/>
        <v/>
      </c>
      <c r="AO50" s="25" t="str">
        <f t="shared" si="69"/>
        <v/>
      </c>
      <c r="AP50" s="25" t="str">
        <f t="shared" si="70"/>
        <v/>
      </c>
      <c r="AQ50" s="25" t="str">
        <f t="shared" si="71"/>
        <v/>
      </c>
      <c r="AR50" s="25" t="str">
        <f t="shared" si="72"/>
        <v/>
      </c>
      <c r="AS50" s="25" t="str">
        <f t="shared" si="73"/>
        <v/>
      </c>
      <c r="AT50" s="25" t="str">
        <f t="shared" si="74"/>
        <v/>
      </c>
      <c r="AU50" s="25" t="str">
        <f t="shared" si="75"/>
        <v/>
      </c>
      <c r="AV50" s="25" t="str">
        <f t="shared" si="76"/>
        <v/>
      </c>
      <c r="AW50" s="25" t="str">
        <f t="shared" si="77"/>
        <v/>
      </c>
      <c r="AX50" s="25" t="str">
        <f t="shared" si="78"/>
        <v/>
      </c>
      <c r="AY50" s="25" t="str">
        <f t="shared" si="79"/>
        <v/>
      </c>
      <c r="AZ50" s="25" t="str">
        <f t="shared" si="80"/>
        <v/>
      </c>
      <c r="BA50" s="25" t="str">
        <f t="shared" si="81"/>
        <v/>
      </c>
      <c r="BB50" s="25" t="str">
        <f t="shared" si="82"/>
        <v/>
      </c>
      <c r="BC50" s="25" t="str">
        <f t="shared" si="83"/>
        <v/>
      </c>
      <c r="BD50" s="25" t="str">
        <f t="shared" si="84"/>
        <v/>
      </c>
      <c r="BE50" s="25" t="str">
        <f t="shared" si="85"/>
        <v/>
      </c>
      <c r="BF50" s="25" t="str">
        <f t="shared" si="86"/>
        <v/>
      </c>
      <c r="BG50" s="25" t="str">
        <f t="shared" si="87"/>
        <v/>
      </c>
      <c r="BH50" s="25" t="str">
        <f t="shared" si="88"/>
        <v/>
      </c>
      <c r="BI50" s="6" t="str">
        <f t="shared" si="89"/>
        <v/>
      </c>
      <c r="BJ50" s="6" t="str">
        <f t="shared" si="90"/>
        <v/>
      </c>
      <c r="BK50" s="6" t="str">
        <f t="shared" si="91"/>
        <v/>
      </c>
      <c r="BL50" s="6" t="str">
        <f t="shared" si="92"/>
        <v/>
      </c>
      <c r="BM50" s="6" t="str">
        <f t="shared" si="93"/>
        <v/>
      </c>
      <c r="BN50" s="6" t="str">
        <f t="shared" si="94"/>
        <v/>
      </c>
      <c r="BO50" s="6" t="str">
        <f t="shared" si="95"/>
        <v/>
      </c>
      <c r="BP50" s="6" t="str">
        <f t="shared" si="96"/>
        <v/>
      </c>
      <c r="BQ50" s="6" t="str">
        <f t="shared" si="97"/>
        <v/>
      </c>
      <c r="BR50" s="6" t="str">
        <f t="shared" si="98"/>
        <v/>
      </c>
      <c r="BS50" s="6" t="str">
        <f t="shared" si="99"/>
        <v/>
      </c>
      <c r="BT50" s="6" t="str">
        <f t="shared" si="100"/>
        <v/>
      </c>
      <c r="BU50" s="6" t="str">
        <f t="shared" si="101"/>
        <v/>
      </c>
      <c r="BV50" s="6" t="str">
        <f t="shared" si="102"/>
        <v/>
      </c>
      <c r="BW50" s="6" t="str">
        <f t="shared" si="103"/>
        <v/>
      </c>
      <c r="BX50" s="6" t="str">
        <f t="shared" si="104"/>
        <v/>
      </c>
    </row>
    <row r="51" spans="3:76" ht="21">
      <c r="C51" s="25">
        <v>41</v>
      </c>
      <c r="D51" s="50"/>
      <c r="E51" s="50"/>
      <c r="F51" s="51" t="s">
        <v>8</v>
      </c>
      <c r="M51" s="25" t="str">
        <f t="shared" si="49"/>
        <v>19</v>
      </c>
      <c r="N51" s="25" t="str">
        <f t="shared" si="50"/>
        <v>11</v>
      </c>
      <c r="O51" s="25" t="str">
        <f t="shared" si="51"/>
        <v>1</v>
      </c>
      <c r="P51" s="25" t="str">
        <f t="shared" si="52"/>
        <v>4</v>
      </c>
      <c r="Q51" s="25" t="str">
        <f t="shared" si="53"/>
        <v>yellow</v>
      </c>
      <c r="R51" s="25" t="str">
        <f t="shared" si="54"/>
        <v>False</v>
      </c>
      <c r="S51" s="25"/>
      <c r="T51" s="25" t="str">
        <f t="shared" si="55"/>
        <v>True</v>
      </c>
      <c r="AA51" s="25" t="str">
        <f t="shared" si="56"/>
        <v/>
      </c>
      <c r="AB51" s="25" t="str">
        <f t="shared" si="57"/>
        <v/>
      </c>
      <c r="AD51" s="25" t="str">
        <f t="shared" si="58"/>
        <v/>
      </c>
      <c r="AE51" s="25" t="str">
        <f t="shared" si="59"/>
        <v/>
      </c>
      <c r="AF51" s="25" t="str">
        <f t="shared" si="60"/>
        <v/>
      </c>
      <c r="AG51" s="25" t="str">
        <f t="shared" si="61"/>
        <v/>
      </c>
      <c r="AH51" s="25" t="str">
        <f t="shared" si="62"/>
        <v/>
      </c>
      <c r="AI51" s="25" t="str">
        <f t="shared" si="63"/>
        <v/>
      </c>
      <c r="AJ51" s="25" t="str">
        <f t="shared" si="64"/>
        <v/>
      </c>
      <c r="AK51" s="25" t="str">
        <f t="shared" si="65"/>
        <v/>
      </c>
      <c r="AL51" s="25" t="str">
        <f t="shared" si="66"/>
        <v/>
      </c>
      <c r="AM51" s="25" t="str">
        <f t="shared" si="67"/>
        <v/>
      </c>
      <c r="AN51" s="25" t="str">
        <f t="shared" si="68"/>
        <v/>
      </c>
      <c r="AO51" s="25" t="str">
        <f t="shared" si="69"/>
        <v/>
      </c>
      <c r="AP51" s="25" t="str">
        <f t="shared" si="70"/>
        <v/>
      </c>
      <c r="AQ51" s="25" t="str">
        <f t="shared" si="71"/>
        <v/>
      </c>
      <c r="AR51" s="25" t="str">
        <f t="shared" si="72"/>
        <v/>
      </c>
      <c r="AS51" s="25" t="str">
        <f t="shared" si="73"/>
        <v/>
      </c>
      <c r="AT51" s="25" t="str">
        <f t="shared" si="74"/>
        <v/>
      </c>
      <c r="AU51" s="25" t="str">
        <f t="shared" si="75"/>
        <v/>
      </c>
      <c r="AV51" s="25" t="str">
        <f t="shared" si="76"/>
        <v/>
      </c>
      <c r="AW51" s="25" t="str">
        <f t="shared" si="77"/>
        <v/>
      </c>
      <c r="AX51" s="25" t="str">
        <f t="shared" si="78"/>
        <v/>
      </c>
      <c r="AY51" s="25" t="str">
        <f t="shared" si="79"/>
        <v/>
      </c>
      <c r="AZ51" s="25" t="str">
        <f t="shared" si="80"/>
        <v/>
      </c>
      <c r="BA51" s="25" t="str">
        <f t="shared" si="81"/>
        <v/>
      </c>
      <c r="BB51" s="25" t="str">
        <f t="shared" si="82"/>
        <v/>
      </c>
      <c r="BC51" s="25" t="str">
        <f t="shared" si="83"/>
        <v/>
      </c>
      <c r="BD51" s="25" t="str">
        <f t="shared" si="84"/>
        <v/>
      </c>
      <c r="BE51" s="25" t="str">
        <f t="shared" si="85"/>
        <v/>
      </c>
      <c r="BF51" s="25" t="str">
        <f t="shared" si="86"/>
        <v/>
      </c>
      <c r="BG51" s="25" t="str">
        <f t="shared" si="87"/>
        <v/>
      </c>
      <c r="BH51" s="25" t="str">
        <f t="shared" si="88"/>
        <v/>
      </c>
      <c r="BI51" s="6" t="str">
        <f t="shared" si="89"/>
        <v/>
      </c>
      <c r="BJ51" s="6" t="str">
        <f t="shared" si="90"/>
        <v/>
      </c>
      <c r="BK51" s="6" t="str">
        <f t="shared" si="91"/>
        <v/>
      </c>
      <c r="BL51" s="6" t="str">
        <f t="shared" si="92"/>
        <v/>
      </c>
      <c r="BM51" s="6" t="str">
        <f t="shared" si="93"/>
        <v/>
      </c>
      <c r="BN51" s="6" t="str">
        <f t="shared" si="94"/>
        <v/>
      </c>
      <c r="BO51" s="6" t="str">
        <f t="shared" si="95"/>
        <v/>
      </c>
      <c r="BP51" s="6" t="str">
        <f t="shared" si="96"/>
        <v/>
      </c>
      <c r="BQ51" s="6" t="str">
        <f t="shared" si="97"/>
        <v/>
      </c>
      <c r="BR51" s="6" t="str">
        <f t="shared" si="98"/>
        <v/>
      </c>
      <c r="BS51" s="6" t="str">
        <f t="shared" si="99"/>
        <v/>
      </c>
      <c r="BT51" s="6" t="str">
        <f t="shared" si="100"/>
        <v/>
      </c>
      <c r="BU51" s="6" t="str">
        <f t="shared" si="101"/>
        <v/>
      </c>
      <c r="BV51" s="6" t="str">
        <f t="shared" si="102"/>
        <v/>
      </c>
      <c r="BW51" s="6" t="str">
        <f t="shared" si="103"/>
        <v/>
      </c>
      <c r="BX51" s="6" t="str">
        <f t="shared" si="104"/>
        <v/>
      </c>
    </row>
    <row r="52" spans="3:76" ht="21">
      <c r="C52" s="25">
        <v>42</v>
      </c>
      <c r="D52" s="50"/>
      <c r="E52" s="50"/>
      <c r="F52" s="51" t="s">
        <v>8</v>
      </c>
      <c r="M52" s="25" t="str">
        <f t="shared" si="49"/>
        <v>19</v>
      </c>
      <c r="N52" s="25" t="str">
        <f t="shared" si="50"/>
        <v>11</v>
      </c>
      <c r="O52" s="25" t="str">
        <f t="shared" si="51"/>
        <v>1</v>
      </c>
      <c r="P52" s="25" t="str">
        <f t="shared" si="52"/>
        <v>4</v>
      </c>
      <c r="Q52" s="25" t="str">
        <f t="shared" si="53"/>
        <v>yellow</v>
      </c>
      <c r="R52" s="25" t="str">
        <f t="shared" si="54"/>
        <v>False</v>
      </c>
      <c r="S52" s="25"/>
      <c r="T52" s="25" t="str">
        <f t="shared" si="55"/>
        <v>True</v>
      </c>
      <c r="AA52" s="25" t="str">
        <f t="shared" si="56"/>
        <v/>
      </c>
      <c r="AB52" s="25" t="str">
        <f t="shared" si="57"/>
        <v/>
      </c>
      <c r="AD52" s="25" t="str">
        <f t="shared" si="58"/>
        <v/>
      </c>
      <c r="AE52" s="25" t="str">
        <f t="shared" si="59"/>
        <v/>
      </c>
      <c r="AF52" s="25" t="str">
        <f t="shared" si="60"/>
        <v/>
      </c>
      <c r="AG52" s="25" t="str">
        <f t="shared" si="61"/>
        <v/>
      </c>
      <c r="AH52" s="25" t="str">
        <f t="shared" si="62"/>
        <v/>
      </c>
      <c r="AI52" s="25" t="str">
        <f t="shared" si="63"/>
        <v/>
      </c>
      <c r="AJ52" s="25" t="str">
        <f t="shared" si="64"/>
        <v/>
      </c>
      <c r="AK52" s="25" t="str">
        <f t="shared" si="65"/>
        <v/>
      </c>
      <c r="AL52" s="25" t="str">
        <f t="shared" si="66"/>
        <v/>
      </c>
      <c r="AM52" s="25" t="str">
        <f t="shared" si="67"/>
        <v/>
      </c>
      <c r="AN52" s="25" t="str">
        <f t="shared" si="68"/>
        <v/>
      </c>
      <c r="AO52" s="25" t="str">
        <f t="shared" si="69"/>
        <v/>
      </c>
      <c r="AP52" s="25" t="str">
        <f t="shared" si="70"/>
        <v/>
      </c>
      <c r="AQ52" s="25" t="str">
        <f t="shared" si="71"/>
        <v/>
      </c>
      <c r="AR52" s="25" t="str">
        <f t="shared" si="72"/>
        <v/>
      </c>
      <c r="AS52" s="25" t="str">
        <f t="shared" si="73"/>
        <v/>
      </c>
      <c r="AT52" s="25" t="str">
        <f t="shared" si="74"/>
        <v/>
      </c>
      <c r="AU52" s="25" t="str">
        <f t="shared" si="75"/>
        <v/>
      </c>
      <c r="AV52" s="25" t="str">
        <f t="shared" si="76"/>
        <v/>
      </c>
      <c r="AW52" s="25" t="str">
        <f t="shared" si="77"/>
        <v/>
      </c>
      <c r="AX52" s="25" t="str">
        <f t="shared" si="78"/>
        <v/>
      </c>
      <c r="AY52" s="25" t="str">
        <f t="shared" si="79"/>
        <v/>
      </c>
      <c r="AZ52" s="25" t="str">
        <f t="shared" si="80"/>
        <v/>
      </c>
      <c r="BA52" s="25" t="str">
        <f t="shared" si="81"/>
        <v/>
      </c>
      <c r="BB52" s="25" t="str">
        <f t="shared" si="82"/>
        <v/>
      </c>
      <c r="BC52" s="25" t="str">
        <f t="shared" si="83"/>
        <v/>
      </c>
      <c r="BD52" s="25" t="str">
        <f t="shared" si="84"/>
        <v/>
      </c>
      <c r="BE52" s="25" t="str">
        <f t="shared" si="85"/>
        <v/>
      </c>
      <c r="BF52" s="25" t="str">
        <f t="shared" si="86"/>
        <v/>
      </c>
      <c r="BG52" s="25" t="str">
        <f t="shared" si="87"/>
        <v/>
      </c>
      <c r="BH52" s="25" t="str">
        <f t="shared" si="88"/>
        <v/>
      </c>
      <c r="BI52" s="6" t="str">
        <f t="shared" si="89"/>
        <v/>
      </c>
      <c r="BJ52" s="6" t="str">
        <f t="shared" si="90"/>
        <v/>
      </c>
      <c r="BK52" s="6" t="str">
        <f t="shared" si="91"/>
        <v/>
      </c>
      <c r="BL52" s="6" t="str">
        <f t="shared" si="92"/>
        <v/>
      </c>
      <c r="BM52" s="6" t="str">
        <f t="shared" si="93"/>
        <v/>
      </c>
      <c r="BN52" s="6" t="str">
        <f t="shared" si="94"/>
        <v/>
      </c>
      <c r="BO52" s="6" t="str">
        <f t="shared" si="95"/>
        <v/>
      </c>
      <c r="BP52" s="6" t="str">
        <f t="shared" si="96"/>
        <v/>
      </c>
      <c r="BQ52" s="6" t="str">
        <f t="shared" si="97"/>
        <v/>
      </c>
      <c r="BR52" s="6" t="str">
        <f t="shared" si="98"/>
        <v/>
      </c>
      <c r="BS52" s="6" t="str">
        <f t="shared" si="99"/>
        <v/>
      </c>
      <c r="BT52" s="6" t="str">
        <f t="shared" si="100"/>
        <v/>
      </c>
      <c r="BU52" s="6" t="str">
        <f t="shared" si="101"/>
        <v/>
      </c>
      <c r="BV52" s="6" t="str">
        <f t="shared" si="102"/>
        <v/>
      </c>
      <c r="BW52" s="6" t="str">
        <f t="shared" si="103"/>
        <v/>
      </c>
      <c r="BX52" s="6" t="str">
        <f t="shared" si="104"/>
        <v/>
      </c>
    </row>
    <row r="53" spans="3:76" ht="21">
      <c r="C53" s="25">
        <v>43</v>
      </c>
      <c r="D53" s="50"/>
      <c r="E53" s="50"/>
      <c r="F53" s="51" t="s">
        <v>8</v>
      </c>
      <c r="M53" s="25" t="str">
        <f t="shared" si="49"/>
        <v>19</v>
      </c>
      <c r="N53" s="25" t="str">
        <f t="shared" si="50"/>
        <v>11</v>
      </c>
      <c r="O53" s="25" t="str">
        <f t="shared" si="51"/>
        <v>1</v>
      </c>
      <c r="P53" s="25" t="str">
        <f t="shared" si="52"/>
        <v>4</v>
      </c>
      <c r="Q53" s="25" t="str">
        <f t="shared" si="53"/>
        <v>yellow</v>
      </c>
      <c r="R53" s="25" t="str">
        <f t="shared" si="54"/>
        <v>False</v>
      </c>
      <c r="S53" s="25"/>
      <c r="T53" s="25" t="str">
        <f t="shared" si="55"/>
        <v>True</v>
      </c>
      <c r="AA53" s="25" t="str">
        <f t="shared" si="56"/>
        <v/>
      </c>
      <c r="AB53" s="25" t="str">
        <f t="shared" si="57"/>
        <v/>
      </c>
      <c r="AD53" s="25" t="str">
        <f t="shared" si="58"/>
        <v/>
      </c>
      <c r="AE53" s="25" t="str">
        <f t="shared" si="59"/>
        <v/>
      </c>
      <c r="AF53" s="25" t="str">
        <f t="shared" si="60"/>
        <v/>
      </c>
      <c r="AG53" s="25" t="str">
        <f t="shared" si="61"/>
        <v/>
      </c>
      <c r="AH53" s="25" t="str">
        <f t="shared" si="62"/>
        <v/>
      </c>
      <c r="AI53" s="25" t="str">
        <f t="shared" si="63"/>
        <v/>
      </c>
      <c r="AJ53" s="25" t="str">
        <f t="shared" si="64"/>
        <v/>
      </c>
      <c r="AK53" s="25" t="str">
        <f t="shared" si="65"/>
        <v/>
      </c>
      <c r="AL53" s="25" t="str">
        <f t="shared" si="66"/>
        <v/>
      </c>
      <c r="AM53" s="25" t="str">
        <f t="shared" si="67"/>
        <v/>
      </c>
      <c r="AN53" s="25" t="str">
        <f t="shared" si="68"/>
        <v/>
      </c>
      <c r="AO53" s="25" t="str">
        <f t="shared" si="69"/>
        <v/>
      </c>
      <c r="AP53" s="25" t="str">
        <f t="shared" si="70"/>
        <v/>
      </c>
      <c r="AQ53" s="25" t="str">
        <f t="shared" si="71"/>
        <v/>
      </c>
      <c r="AR53" s="25" t="str">
        <f t="shared" si="72"/>
        <v/>
      </c>
      <c r="AS53" s="25" t="str">
        <f t="shared" si="73"/>
        <v/>
      </c>
      <c r="AT53" s="25" t="str">
        <f t="shared" si="74"/>
        <v/>
      </c>
      <c r="AU53" s="25" t="str">
        <f t="shared" si="75"/>
        <v/>
      </c>
      <c r="AV53" s="25" t="str">
        <f t="shared" si="76"/>
        <v/>
      </c>
      <c r="AW53" s="25" t="str">
        <f t="shared" si="77"/>
        <v/>
      </c>
      <c r="AX53" s="25" t="str">
        <f t="shared" si="78"/>
        <v/>
      </c>
      <c r="AY53" s="25" t="str">
        <f t="shared" si="79"/>
        <v/>
      </c>
      <c r="AZ53" s="25" t="str">
        <f t="shared" si="80"/>
        <v/>
      </c>
      <c r="BA53" s="25" t="str">
        <f t="shared" si="81"/>
        <v/>
      </c>
      <c r="BB53" s="25" t="str">
        <f t="shared" si="82"/>
        <v/>
      </c>
      <c r="BC53" s="25" t="str">
        <f t="shared" si="83"/>
        <v/>
      </c>
      <c r="BD53" s="25" t="str">
        <f t="shared" si="84"/>
        <v/>
      </c>
      <c r="BE53" s="25" t="str">
        <f t="shared" si="85"/>
        <v/>
      </c>
      <c r="BF53" s="25" t="str">
        <f t="shared" si="86"/>
        <v/>
      </c>
      <c r="BG53" s="25" t="str">
        <f t="shared" si="87"/>
        <v/>
      </c>
      <c r="BH53" s="25" t="str">
        <f t="shared" si="88"/>
        <v/>
      </c>
      <c r="BI53" s="6" t="str">
        <f t="shared" si="89"/>
        <v/>
      </c>
      <c r="BJ53" s="6" t="str">
        <f t="shared" si="90"/>
        <v/>
      </c>
      <c r="BK53" s="6" t="str">
        <f t="shared" si="91"/>
        <v/>
      </c>
      <c r="BL53" s="6" t="str">
        <f t="shared" si="92"/>
        <v/>
      </c>
      <c r="BM53" s="6" t="str">
        <f t="shared" si="93"/>
        <v/>
      </c>
      <c r="BN53" s="6" t="str">
        <f t="shared" si="94"/>
        <v/>
      </c>
      <c r="BO53" s="6" t="str">
        <f t="shared" si="95"/>
        <v/>
      </c>
      <c r="BP53" s="6" t="str">
        <f t="shared" si="96"/>
        <v/>
      </c>
      <c r="BQ53" s="6" t="str">
        <f t="shared" si="97"/>
        <v/>
      </c>
      <c r="BR53" s="6" t="str">
        <f t="shared" si="98"/>
        <v/>
      </c>
      <c r="BS53" s="6" t="str">
        <f t="shared" si="99"/>
        <v/>
      </c>
      <c r="BT53" s="6" t="str">
        <f t="shared" si="100"/>
        <v/>
      </c>
      <c r="BU53" s="6" t="str">
        <f t="shared" si="101"/>
        <v/>
      </c>
      <c r="BV53" s="6" t="str">
        <f t="shared" si="102"/>
        <v/>
      </c>
      <c r="BW53" s="6" t="str">
        <f t="shared" si="103"/>
        <v/>
      </c>
      <c r="BX53" s="6" t="str">
        <f t="shared" si="104"/>
        <v/>
      </c>
    </row>
    <row r="54" spans="3:76" ht="21">
      <c r="C54" s="25">
        <v>44</v>
      </c>
      <c r="D54" s="50"/>
      <c r="E54" s="50"/>
      <c r="F54" s="51" t="s">
        <v>8</v>
      </c>
      <c r="M54" s="25" t="str">
        <f t="shared" si="49"/>
        <v>19</v>
      </c>
      <c r="N54" s="25" t="str">
        <f t="shared" si="50"/>
        <v>11</v>
      </c>
      <c r="O54" s="25" t="str">
        <f t="shared" si="51"/>
        <v>1</v>
      </c>
      <c r="P54" s="25" t="str">
        <f t="shared" si="52"/>
        <v>4</v>
      </c>
      <c r="Q54" s="25" t="str">
        <f t="shared" si="53"/>
        <v>yellow</v>
      </c>
      <c r="R54" s="25" t="str">
        <f t="shared" si="54"/>
        <v>False</v>
      </c>
      <c r="S54" s="25"/>
      <c r="T54" s="25" t="str">
        <f t="shared" si="55"/>
        <v>True</v>
      </c>
      <c r="AA54" s="25" t="str">
        <f t="shared" si="56"/>
        <v/>
      </c>
      <c r="AB54" s="25" t="str">
        <f t="shared" si="57"/>
        <v/>
      </c>
      <c r="AD54" s="25" t="str">
        <f t="shared" si="58"/>
        <v/>
      </c>
      <c r="AE54" s="25" t="str">
        <f t="shared" si="59"/>
        <v/>
      </c>
      <c r="AF54" s="25" t="str">
        <f t="shared" si="60"/>
        <v/>
      </c>
      <c r="AG54" s="25" t="str">
        <f t="shared" si="61"/>
        <v/>
      </c>
      <c r="AH54" s="25" t="str">
        <f t="shared" si="62"/>
        <v/>
      </c>
      <c r="AI54" s="25" t="str">
        <f t="shared" si="63"/>
        <v/>
      </c>
      <c r="AJ54" s="25" t="str">
        <f t="shared" si="64"/>
        <v/>
      </c>
      <c r="AK54" s="25" t="str">
        <f t="shared" si="65"/>
        <v/>
      </c>
      <c r="AL54" s="25" t="str">
        <f t="shared" si="66"/>
        <v/>
      </c>
      <c r="AM54" s="25" t="str">
        <f t="shared" si="67"/>
        <v/>
      </c>
      <c r="AN54" s="25" t="str">
        <f t="shared" si="68"/>
        <v/>
      </c>
      <c r="AO54" s="25" t="str">
        <f t="shared" si="69"/>
        <v/>
      </c>
      <c r="AP54" s="25" t="str">
        <f t="shared" si="70"/>
        <v/>
      </c>
      <c r="AQ54" s="25" t="str">
        <f t="shared" si="71"/>
        <v/>
      </c>
      <c r="AR54" s="25" t="str">
        <f t="shared" si="72"/>
        <v/>
      </c>
      <c r="AS54" s="25" t="str">
        <f t="shared" si="73"/>
        <v/>
      </c>
      <c r="AT54" s="25" t="str">
        <f t="shared" si="74"/>
        <v/>
      </c>
      <c r="AU54" s="25" t="str">
        <f t="shared" si="75"/>
        <v/>
      </c>
      <c r="AV54" s="25" t="str">
        <f t="shared" si="76"/>
        <v/>
      </c>
      <c r="AW54" s="25" t="str">
        <f t="shared" si="77"/>
        <v/>
      </c>
      <c r="AX54" s="25" t="str">
        <f t="shared" si="78"/>
        <v/>
      </c>
      <c r="AY54" s="25" t="str">
        <f t="shared" si="79"/>
        <v/>
      </c>
      <c r="AZ54" s="25" t="str">
        <f t="shared" si="80"/>
        <v/>
      </c>
      <c r="BA54" s="25" t="str">
        <f t="shared" si="81"/>
        <v/>
      </c>
      <c r="BB54" s="25" t="str">
        <f t="shared" si="82"/>
        <v/>
      </c>
      <c r="BC54" s="25" t="str">
        <f t="shared" si="83"/>
        <v/>
      </c>
      <c r="BD54" s="25" t="str">
        <f t="shared" si="84"/>
        <v/>
      </c>
      <c r="BE54" s="25" t="str">
        <f t="shared" si="85"/>
        <v/>
      </c>
      <c r="BF54" s="25" t="str">
        <f t="shared" si="86"/>
        <v/>
      </c>
      <c r="BG54" s="25" t="str">
        <f t="shared" si="87"/>
        <v/>
      </c>
      <c r="BH54" s="25" t="str">
        <f t="shared" si="88"/>
        <v/>
      </c>
      <c r="BI54" s="6" t="str">
        <f t="shared" si="89"/>
        <v/>
      </c>
      <c r="BJ54" s="6" t="str">
        <f t="shared" si="90"/>
        <v/>
      </c>
      <c r="BK54" s="6" t="str">
        <f t="shared" si="91"/>
        <v/>
      </c>
      <c r="BL54" s="6" t="str">
        <f t="shared" si="92"/>
        <v/>
      </c>
      <c r="BM54" s="6" t="str">
        <f t="shared" si="93"/>
        <v/>
      </c>
      <c r="BN54" s="6" t="str">
        <f t="shared" si="94"/>
        <v/>
      </c>
      <c r="BO54" s="6" t="str">
        <f t="shared" si="95"/>
        <v/>
      </c>
      <c r="BP54" s="6" t="str">
        <f t="shared" si="96"/>
        <v/>
      </c>
      <c r="BQ54" s="6" t="str">
        <f t="shared" si="97"/>
        <v/>
      </c>
      <c r="BR54" s="6" t="str">
        <f t="shared" si="98"/>
        <v/>
      </c>
      <c r="BS54" s="6" t="str">
        <f t="shared" si="99"/>
        <v/>
      </c>
      <c r="BT54" s="6" t="str">
        <f t="shared" si="100"/>
        <v/>
      </c>
      <c r="BU54" s="6" t="str">
        <f t="shared" si="101"/>
        <v/>
      </c>
      <c r="BV54" s="6" t="str">
        <f t="shared" si="102"/>
        <v/>
      </c>
      <c r="BW54" s="6" t="str">
        <f t="shared" si="103"/>
        <v/>
      </c>
      <c r="BX54" s="6" t="str">
        <f t="shared" si="104"/>
        <v/>
      </c>
    </row>
    <row r="55" spans="3:76" ht="21">
      <c r="C55" s="25">
        <v>45</v>
      </c>
      <c r="D55" s="50"/>
      <c r="E55" s="50"/>
      <c r="F55" s="51" t="s">
        <v>8</v>
      </c>
      <c r="M55" s="25" t="str">
        <f t="shared" si="49"/>
        <v>19</v>
      </c>
      <c r="N55" s="25" t="str">
        <f t="shared" si="50"/>
        <v>11</v>
      </c>
      <c r="O55" s="25" t="str">
        <f t="shared" si="51"/>
        <v>1</v>
      </c>
      <c r="P55" s="25" t="str">
        <f t="shared" si="52"/>
        <v>4</v>
      </c>
      <c r="Q55" s="25" t="str">
        <f t="shared" si="53"/>
        <v>yellow</v>
      </c>
      <c r="R55" s="25" t="str">
        <f t="shared" si="54"/>
        <v>False</v>
      </c>
      <c r="S55" s="25"/>
      <c r="T55" s="25" t="str">
        <f t="shared" si="55"/>
        <v>True</v>
      </c>
      <c r="AA55" s="25" t="str">
        <f t="shared" si="56"/>
        <v/>
      </c>
      <c r="AB55" s="25" t="str">
        <f t="shared" si="57"/>
        <v/>
      </c>
      <c r="AD55" s="25" t="str">
        <f t="shared" si="58"/>
        <v/>
      </c>
      <c r="AE55" s="25" t="str">
        <f t="shared" si="59"/>
        <v/>
      </c>
      <c r="AF55" s="25" t="str">
        <f t="shared" si="60"/>
        <v/>
      </c>
      <c r="AG55" s="25" t="str">
        <f t="shared" si="61"/>
        <v/>
      </c>
      <c r="AH55" s="25" t="str">
        <f t="shared" si="62"/>
        <v/>
      </c>
      <c r="AI55" s="25" t="str">
        <f t="shared" si="63"/>
        <v/>
      </c>
      <c r="AJ55" s="25" t="str">
        <f t="shared" si="64"/>
        <v/>
      </c>
      <c r="AK55" s="25" t="str">
        <f t="shared" si="65"/>
        <v/>
      </c>
      <c r="AL55" s="25" t="str">
        <f t="shared" si="66"/>
        <v/>
      </c>
      <c r="AM55" s="25" t="str">
        <f t="shared" si="67"/>
        <v/>
      </c>
      <c r="AN55" s="25" t="str">
        <f t="shared" si="68"/>
        <v/>
      </c>
      <c r="AO55" s="25" t="str">
        <f t="shared" si="69"/>
        <v/>
      </c>
      <c r="AP55" s="25" t="str">
        <f t="shared" si="70"/>
        <v/>
      </c>
      <c r="AQ55" s="25" t="str">
        <f t="shared" si="71"/>
        <v/>
      </c>
      <c r="AR55" s="25" t="str">
        <f t="shared" si="72"/>
        <v/>
      </c>
      <c r="AS55" s="25" t="str">
        <f t="shared" si="73"/>
        <v/>
      </c>
      <c r="AT55" s="25" t="str">
        <f t="shared" si="74"/>
        <v/>
      </c>
      <c r="AU55" s="25" t="str">
        <f t="shared" si="75"/>
        <v/>
      </c>
      <c r="AV55" s="25" t="str">
        <f t="shared" si="76"/>
        <v/>
      </c>
      <c r="AW55" s="25" t="str">
        <f t="shared" si="77"/>
        <v/>
      </c>
      <c r="AX55" s="25" t="str">
        <f t="shared" si="78"/>
        <v/>
      </c>
      <c r="AY55" s="25" t="str">
        <f t="shared" si="79"/>
        <v/>
      </c>
      <c r="AZ55" s="25" t="str">
        <f t="shared" si="80"/>
        <v/>
      </c>
      <c r="BA55" s="25" t="str">
        <f t="shared" si="81"/>
        <v/>
      </c>
      <c r="BB55" s="25" t="str">
        <f t="shared" si="82"/>
        <v/>
      </c>
      <c r="BC55" s="25" t="str">
        <f t="shared" si="83"/>
        <v/>
      </c>
      <c r="BD55" s="25" t="str">
        <f t="shared" si="84"/>
        <v/>
      </c>
      <c r="BE55" s="25" t="str">
        <f t="shared" si="85"/>
        <v/>
      </c>
      <c r="BF55" s="25" t="str">
        <f t="shared" si="86"/>
        <v/>
      </c>
      <c r="BG55" s="25" t="str">
        <f t="shared" si="87"/>
        <v/>
      </c>
      <c r="BH55" s="25" t="str">
        <f t="shared" si="88"/>
        <v/>
      </c>
      <c r="BI55" s="6" t="str">
        <f t="shared" si="89"/>
        <v/>
      </c>
      <c r="BJ55" s="6" t="str">
        <f t="shared" si="90"/>
        <v/>
      </c>
      <c r="BK55" s="6" t="str">
        <f t="shared" si="91"/>
        <v/>
      </c>
      <c r="BL55" s="6" t="str">
        <f t="shared" si="92"/>
        <v/>
      </c>
      <c r="BM55" s="6" t="str">
        <f t="shared" si="93"/>
        <v/>
      </c>
      <c r="BN55" s="6" t="str">
        <f t="shared" si="94"/>
        <v/>
      </c>
      <c r="BO55" s="6" t="str">
        <f t="shared" si="95"/>
        <v/>
      </c>
      <c r="BP55" s="6" t="str">
        <f t="shared" si="96"/>
        <v/>
      </c>
      <c r="BQ55" s="6" t="str">
        <f t="shared" si="97"/>
        <v/>
      </c>
      <c r="BR55" s="6" t="str">
        <f t="shared" si="98"/>
        <v/>
      </c>
      <c r="BS55" s="6" t="str">
        <f t="shared" si="99"/>
        <v/>
      </c>
      <c r="BT55" s="6" t="str">
        <f t="shared" si="100"/>
        <v/>
      </c>
      <c r="BU55" s="6" t="str">
        <f t="shared" si="101"/>
        <v/>
      </c>
      <c r="BV55" s="6" t="str">
        <f t="shared" si="102"/>
        <v/>
      </c>
      <c r="BW55" s="6" t="str">
        <f t="shared" si="103"/>
        <v/>
      </c>
      <c r="BX55" s="6" t="str">
        <f t="shared" si="104"/>
        <v/>
      </c>
    </row>
    <row r="56" spans="3:76" ht="21">
      <c r="C56" s="25">
        <v>46</v>
      </c>
      <c r="D56" s="50"/>
      <c r="E56" s="50"/>
      <c r="F56" s="51" t="s">
        <v>8</v>
      </c>
      <c r="M56" s="25" t="str">
        <f t="shared" si="49"/>
        <v>19</v>
      </c>
      <c r="N56" s="25" t="str">
        <f t="shared" si="50"/>
        <v>11</v>
      </c>
      <c r="O56" s="25" t="str">
        <f t="shared" si="51"/>
        <v>1</v>
      </c>
      <c r="P56" s="25" t="str">
        <f t="shared" si="52"/>
        <v>4</v>
      </c>
      <c r="Q56" s="25" t="str">
        <f t="shared" si="53"/>
        <v>yellow</v>
      </c>
      <c r="R56" s="25" t="str">
        <f t="shared" si="54"/>
        <v>False</v>
      </c>
      <c r="S56" s="25"/>
      <c r="T56" s="25" t="str">
        <f t="shared" si="55"/>
        <v>True</v>
      </c>
      <c r="AA56" s="25" t="str">
        <f t="shared" si="56"/>
        <v/>
      </c>
      <c r="AB56" s="25" t="str">
        <f t="shared" si="57"/>
        <v/>
      </c>
      <c r="AD56" s="25" t="str">
        <f t="shared" si="58"/>
        <v/>
      </c>
      <c r="AE56" s="25" t="str">
        <f t="shared" si="59"/>
        <v/>
      </c>
      <c r="AF56" s="25" t="str">
        <f t="shared" si="60"/>
        <v/>
      </c>
      <c r="AG56" s="25" t="str">
        <f t="shared" si="61"/>
        <v/>
      </c>
      <c r="AH56" s="25" t="str">
        <f t="shared" si="62"/>
        <v/>
      </c>
      <c r="AI56" s="25" t="str">
        <f t="shared" si="63"/>
        <v/>
      </c>
      <c r="AJ56" s="25" t="str">
        <f t="shared" si="64"/>
        <v/>
      </c>
      <c r="AK56" s="25" t="str">
        <f t="shared" si="65"/>
        <v/>
      </c>
      <c r="AL56" s="25" t="str">
        <f t="shared" si="66"/>
        <v/>
      </c>
      <c r="AM56" s="25" t="str">
        <f t="shared" si="67"/>
        <v/>
      </c>
      <c r="AN56" s="25" t="str">
        <f t="shared" si="68"/>
        <v/>
      </c>
      <c r="AO56" s="25" t="str">
        <f t="shared" si="69"/>
        <v/>
      </c>
      <c r="AP56" s="25" t="str">
        <f t="shared" si="70"/>
        <v/>
      </c>
      <c r="AQ56" s="25" t="str">
        <f t="shared" si="71"/>
        <v/>
      </c>
      <c r="AR56" s="25" t="str">
        <f t="shared" si="72"/>
        <v/>
      </c>
      <c r="AS56" s="25" t="str">
        <f t="shared" si="73"/>
        <v/>
      </c>
      <c r="AT56" s="25" t="str">
        <f t="shared" si="74"/>
        <v/>
      </c>
      <c r="AU56" s="25" t="str">
        <f t="shared" si="75"/>
        <v/>
      </c>
      <c r="AV56" s="25" t="str">
        <f t="shared" si="76"/>
        <v/>
      </c>
      <c r="AW56" s="25" t="str">
        <f t="shared" si="77"/>
        <v/>
      </c>
      <c r="AX56" s="25" t="str">
        <f t="shared" si="78"/>
        <v/>
      </c>
      <c r="AY56" s="25" t="str">
        <f t="shared" si="79"/>
        <v/>
      </c>
      <c r="AZ56" s="25" t="str">
        <f t="shared" si="80"/>
        <v/>
      </c>
      <c r="BA56" s="25" t="str">
        <f t="shared" si="81"/>
        <v/>
      </c>
      <c r="BB56" s="25" t="str">
        <f t="shared" si="82"/>
        <v/>
      </c>
      <c r="BC56" s="25" t="str">
        <f t="shared" si="83"/>
        <v/>
      </c>
      <c r="BD56" s="25" t="str">
        <f t="shared" si="84"/>
        <v/>
      </c>
      <c r="BE56" s="25" t="str">
        <f t="shared" si="85"/>
        <v/>
      </c>
      <c r="BF56" s="25" t="str">
        <f t="shared" si="86"/>
        <v/>
      </c>
      <c r="BG56" s="25" t="str">
        <f t="shared" si="87"/>
        <v/>
      </c>
      <c r="BH56" s="25" t="str">
        <f t="shared" si="88"/>
        <v/>
      </c>
      <c r="BI56" s="6" t="str">
        <f t="shared" si="89"/>
        <v/>
      </c>
      <c r="BJ56" s="6" t="str">
        <f t="shared" si="90"/>
        <v/>
      </c>
      <c r="BK56" s="6" t="str">
        <f t="shared" si="91"/>
        <v/>
      </c>
      <c r="BL56" s="6" t="str">
        <f t="shared" si="92"/>
        <v/>
      </c>
      <c r="BM56" s="6" t="str">
        <f t="shared" si="93"/>
        <v/>
      </c>
      <c r="BN56" s="6" t="str">
        <f t="shared" si="94"/>
        <v/>
      </c>
      <c r="BO56" s="6" t="str">
        <f t="shared" si="95"/>
        <v/>
      </c>
      <c r="BP56" s="6" t="str">
        <f t="shared" si="96"/>
        <v/>
      </c>
      <c r="BQ56" s="6" t="str">
        <f t="shared" si="97"/>
        <v/>
      </c>
      <c r="BR56" s="6" t="str">
        <f t="shared" si="98"/>
        <v/>
      </c>
      <c r="BS56" s="6" t="str">
        <f t="shared" si="99"/>
        <v/>
      </c>
      <c r="BT56" s="6" t="str">
        <f t="shared" si="100"/>
        <v/>
      </c>
      <c r="BU56" s="6" t="str">
        <f t="shared" si="101"/>
        <v/>
      </c>
      <c r="BV56" s="6" t="str">
        <f t="shared" si="102"/>
        <v/>
      </c>
      <c r="BW56" s="6" t="str">
        <f t="shared" si="103"/>
        <v/>
      </c>
      <c r="BX56" s="6" t="str">
        <f t="shared" si="104"/>
        <v/>
      </c>
    </row>
    <row r="57" spans="3:76" ht="21">
      <c r="C57" s="25">
        <v>47</v>
      </c>
      <c r="D57" s="50"/>
      <c r="E57" s="50"/>
      <c r="F57" s="51" t="s">
        <v>8</v>
      </c>
      <c r="M57" s="25" t="str">
        <f t="shared" si="49"/>
        <v>19</v>
      </c>
      <c r="N57" s="25" t="str">
        <f t="shared" si="50"/>
        <v>11</v>
      </c>
      <c r="O57" s="25" t="str">
        <f t="shared" si="51"/>
        <v>1</v>
      </c>
      <c r="P57" s="25" t="str">
        <f t="shared" si="52"/>
        <v>4</v>
      </c>
      <c r="Q57" s="25" t="str">
        <f t="shared" si="53"/>
        <v>yellow</v>
      </c>
      <c r="R57" s="25" t="str">
        <f t="shared" si="54"/>
        <v>False</v>
      </c>
      <c r="S57" s="25"/>
      <c r="T57" s="25" t="str">
        <f t="shared" si="55"/>
        <v>True</v>
      </c>
      <c r="AA57" s="25" t="str">
        <f t="shared" si="56"/>
        <v/>
      </c>
      <c r="AB57" s="25" t="str">
        <f t="shared" si="57"/>
        <v/>
      </c>
      <c r="AD57" s="25" t="str">
        <f t="shared" si="58"/>
        <v/>
      </c>
      <c r="AE57" s="25" t="str">
        <f t="shared" si="59"/>
        <v/>
      </c>
      <c r="AF57" s="25" t="str">
        <f t="shared" si="60"/>
        <v/>
      </c>
      <c r="AG57" s="25" t="str">
        <f t="shared" si="61"/>
        <v/>
      </c>
      <c r="AH57" s="25" t="str">
        <f t="shared" si="62"/>
        <v/>
      </c>
      <c r="AI57" s="25" t="str">
        <f t="shared" si="63"/>
        <v/>
      </c>
      <c r="AJ57" s="25" t="str">
        <f t="shared" si="64"/>
        <v/>
      </c>
      <c r="AK57" s="25" t="str">
        <f t="shared" si="65"/>
        <v/>
      </c>
      <c r="AL57" s="25" t="str">
        <f t="shared" si="66"/>
        <v/>
      </c>
      <c r="AM57" s="25" t="str">
        <f t="shared" si="67"/>
        <v/>
      </c>
      <c r="AN57" s="25" t="str">
        <f t="shared" si="68"/>
        <v/>
      </c>
      <c r="AO57" s="25" t="str">
        <f t="shared" si="69"/>
        <v/>
      </c>
      <c r="AP57" s="25" t="str">
        <f t="shared" si="70"/>
        <v/>
      </c>
      <c r="AQ57" s="25" t="str">
        <f t="shared" si="71"/>
        <v/>
      </c>
      <c r="AR57" s="25" t="str">
        <f t="shared" si="72"/>
        <v/>
      </c>
      <c r="AS57" s="25" t="str">
        <f t="shared" si="73"/>
        <v/>
      </c>
      <c r="AT57" s="25" t="str">
        <f t="shared" si="74"/>
        <v/>
      </c>
      <c r="AU57" s="25" t="str">
        <f t="shared" si="75"/>
        <v/>
      </c>
      <c r="AV57" s="25" t="str">
        <f t="shared" si="76"/>
        <v/>
      </c>
      <c r="AW57" s="25" t="str">
        <f t="shared" si="77"/>
        <v/>
      </c>
      <c r="AX57" s="25" t="str">
        <f t="shared" si="78"/>
        <v/>
      </c>
      <c r="AY57" s="25" t="str">
        <f t="shared" si="79"/>
        <v/>
      </c>
      <c r="AZ57" s="25" t="str">
        <f t="shared" si="80"/>
        <v/>
      </c>
      <c r="BA57" s="25" t="str">
        <f t="shared" si="81"/>
        <v/>
      </c>
      <c r="BB57" s="25" t="str">
        <f t="shared" si="82"/>
        <v/>
      </c>
      <c r="BC57" s="25" t="str">
        <f t="shared" si="83"/>
        <v/>
      </c>
      <c r="BD57" s="25" t="str">
        <f t="shared" si="84"/>
        <v/>
      </c>
      <c r="BE57" s="25" t="str">
        <f t="shared" si="85"/>
        <v/>
      </c>
      <c r="BF57" s="25" t="str">
        <f t="shared" si="86"/>
        <v/>
      </c>
      <c r="BG57" s="25" t="str">
        <f t="shared" si="87"/>
        <v/>
      </c>
      <c r="BH57" s="25" t="str">
        <f t="shared" si="88"/>
        <v/>
      </c>
      <c r="BI57" s="6" t="str">
        <f t="shared" si="89"/>
        <v/>
      </c>
      <c r="BJ57" s="6" t="str">
        <f t="shared" si="90"/>
        <v/>
      </c>
      <c r="BK57" s="6" t="str">
        <f t="shared" si="91"/>
        <v/>
      </c>
      <c r="BL57" s="6" t="str">
        <f t="shared" si="92"/>
        <v/>
      </c>
      <c r="BM57" s="6" t="str">
        <f t="shared" si="93"/>
        <v/>
      </c>
      <c r="BN57" s="6" t="str">
        <f t="shared" si="94"/>
        <v/>
      </c>
      <c r="BO57" s="6" t="str">
        <f t="shared" si="95"/>
        <v/>
      </c>
      <c r="BP57" s="6" t="str">
        <f t="shared" si="96"/>
        <v/>
      </c>
      <c r="BQ57" s="6" t="str">
        <f t="shared" si="97"/>
        <v/>
      </c>
      <c r="BR57" s="6" t="str">
        <f t="shared" si="98"/>
        <v/>
      </c>
      <c r="BS57" s="6" t="str">
        <f t="shared" si="99"/>
        <v/>
      </c>
      <c r="BT57" s="6" t="str">
        <f t="shared" si="100"/>
        <v/>
      </c>
      <c r="BU57" s="6" t="str">
        <f t="shared" si="101"/>
        <v/>
      </c>
      <c r="BV57" s="6" t="str">
        <f t="shared" si="102"/>
        <v/>
      </c>
      <c r="BW57" s="6" t="str">
        <f t="shared" si="103"/>
        <v/>
      </c>
      <c r="BX57" s="6" t="str">
        <f t="shared" si="104"/>
        <v/>
      </c>
    </row>
    <row r="58" spans="3:76" ht="21">
      <c r="C58" s="25">
        <v>48</v>
      </c>
      <c r="D58" s="50"/>
      <c r="E58" s="50"/>
      <c r="F58" s="51" t="s">
        <v>8</v>
      </c>
      <c r="M58" s="25" t="str">
        <f t="shared" si="49"/>
        <v>19</v>
      </c>
      <c r="N58" s="25" t="str">
        <f t="shared" si="50"/>
        <v>11</v>
      </c>
      <c r="O58" s="25" t="str">
        <f t="shared" si="51"/>
        <v>1</v>
      </c>
      <c r="P58" s="25" t="str">
        <f t="shared" si="52"/>
        <v>4</v>
      </c>
      <c r="Q58" s="25" t="str">
        <f t="shared" si="53"/>
        <v>yellow</v>
      </c>
      <c r="R58" s="25" t="str">
        <f t="shared" si="54"/>
        <v>False</v>
      </c>
      <c r="S58" s="25"/>
      <c r="T58" s="25" t="str">
        <f t="shared" si="55"/>
        <v>True</v>
      </c>
      <c r="AA58" s="25" t="str">
        <f t="shared" si="56"/>
        <v/>
      </c>
      <c r="AB58" s="25" t="str">
        <f t="shared" si="57"/>
        <v/>
      </c>
      <c r="AD58" s="25" t="str">
        <f t="shared" si="58"/>
        <v/>
      </c>
      <c r="AE58" s="25" t="str">
        <f t="shared" si="59"/>
        <v/>
      </c>
      <c r="AF58" s="25" t="str">
        <f t="shared" si="60"/>
        <v/>
      </c>
      <c r="AG58" s="25" t="str">
        <f t="shared" si="61"/>
        <v/>
      </c>
      <c r="AH58" s="25" t="str">
        <f t="shared" si="62"/>
        <v/>
      </c>
      <c r="AI58" s="25" t="str">
        <f t="shared" si="63"/>
        <v/>
      </c>
      <c r="AJ58" s="25" t="str">
        <f t="shared" si="64"/>
        <v/>
      </c>
      <c r="AK58" s="25" t="str">
        <f t="shared" si="65"/>
        <v/>
      </c>
      <c r="AL58" s="25" t="str">
        <f t="shared" si="66"/>
        <v/>
      </c>
      <c r="AM58" s="25" t="str">
        <f t="shared" si="67"/>
        <v/>
      </c>
      <c r="AN58" s="25" t="str">
        <f t="shared" si="68"/>
        <v/>
      </c>
      <c r="AO58" s="25" t="str">
        <f t="shared" si="69"/>
        <v/>
      </c>
      <c r="AP58" s="25" t="str">
        <f t="shared" si="70"/>
        <v/>
      </c>
      <c r="AQ58" s="25" t="str">
        <f t="shared" si="71"/>
        <v/>
      </c>
      <c r="AR58" s="25" t="str">
        <f t="shared" si="72"/>
        <v/>
      </c>
      <c r="AS58" s="25" t="str">
        <f t="shared" si="73"/>
        <v/>
      </c>
      <c r="AT58" s="25" t="str">
        <f t="shared" si="74"/>
        <v/>
      </c>
      <c r="AU58" s="25" t="str">
        <f t="shared" si="75"/>
        <v/>
      </c>
      <c r="AV58" s="25" t="str">
        <f t="shared" si="76"/>
        <v/>
      </c>
      <c r="AW58" s="25" t="str">
        <f t="shared" si="77"/>
        <v/>
      </c>
      <c r="AX58" s="25" t="str">
        <f t="shared" si="78"/>
        <v/>
      </c>
      <c r="AY58" s="25" t="str">
        <f t="shared" si="79"/>
        <v/>
      </c>
      <c r="AZ58" s="25" t="str">
        <f t="shared" si="80"/>
        <v/>
      </c>
      <c r="BA58" s="25" t="str">
        <f t="shared" si="81"/>
        <v/>
      </c>
      <c r="BB58" s="25" t="str">
        <f t="shared" si="82"/>
        <v/>
      </c>
      <c r="BC58" s="25" t="str">
        <f t="shared" si="83"/>
        <v/>
      </c>
      <c r="BD58" s="25" t="str">
        <f t="shared" si="84"/>
        <v/>
      </c>
      <c r="BE58" s="25" t="str">
        <f t="shared" si="85"/>
        <v/>
      </c>
      <c r="BF58" s="25" t="str">
        <f t="shared" si="86"/>
        <v/>
      </c>
      <c r="BG58" s="25" t="str">
        <f t="shared" si="87"/>
        <v/>
      </c>
      <c r="BH58" s="25" t="str">
        <f t="shared" si="88"/>
        <v/>
      </c>
      <c r="BI58" s="6" t="str">
        <f t="shared" si="89"/>
        <v/>
      </c>
      <c r="BJ58" s="6" t="str">
        <f t="shared" si="90"/>
        <v/>
      </c>
      <c r="BK58" s="6" t="str">
        <f t="shared" si="91"/>
        <v/>
      </c>
      <c r="BL58" s="6" t="str">
        <f t="shared" si="92"/>
        <v/>
      </c>
      <c r="BM58" s="6" t="str">
        <f t="shared" si="93"/>
        <v/>
      </c>
      <c r="BN58" s="6" t="str">
        <f t="shared" si="94"/>
        <v/>
      </c>
      <c r="BO58" s="6" t="str">
        <f t="shared" si="95"/>
        <v/>
      </c>
      <c r="BP58" s="6" t="str">
        <f t="shared" si="96"/>
        <v/>
      </c>
      <c r="BQ58" s="6" t="str">
        <f t="shared" si="97"/>
        <v/>
      </c>
      <c r="BR58" s="6" t="str">
        <f t="shared" si="98"/>
        <v/>
      </c>
      <c r="BS58" s="6" t="str">
        <f t="shared" si="99"/>
        <v/>
      </c>
      <c r="BT58" s="6" t="str">
        <f t="shared" si="100"/>
        <v/>
      </c>
      <c r="BU58" s="6" t="str">
        <f t="shared" si="101"/>
        <v/>
      </c>
      <c r="BV58" s="6" t="str">
        <f t="shared" si="102"/>
        <v/>
      </c>
      <c r="BW58" s="6" t="str">
        <f t="shared" si="103"/>
        <v/>
      </c>
      <c r="BX58" s="6" t="str">
        <f t="shared" si="104"/>
        <v/>
      </c>
    </row>
    <row r="59" spans="3:76" ht="21">
      <c r="C59" s="25">
        <v>49</v>
      </c>
      <c r="D59" s="50"/>
      <c r="E59" s="50"/>
      <c r="F59" s="51" t="s">
        <v>8</v>
      </c>
      <c r="M59" s="25" t="str">
        <f t="shared" si="49"/>
        <v>19</v>
      </c>
      <c r="N59" s="25" t="str">
        <f t="shared" si="50"/>
        <v>11</v>
      </c>
      <c r="O59" s="25" t="str">
        <f t="shared" si="51"/>
        <v>1</v>
      </c>
      <c r="P59" s="25" t="str">
        <f t="shared" si="52"/>
        <v>4</v>
      </c>
      <c r="Q59" s="25" t="str">
        <f t="shared" si="53"/>
        <v>yellow</v>
      </c>
      <c r="R59" s="25" t="str">
        <f t="shared" si="54"/>
        <v>False</v>
      </c>
      <c r="S59" s="25"/>
      <c r="T59" s="25" t="str">
        <f t="shared" si="55"/>
        <v>True</v>
      </c>
      <c r="AA59" s="25" t="str">
        <f t="shared" si="56"/>
        <v/>
      </c>
      <c r="AB59" s="25" t="str">
        <f t="shared" si="57"/>
        <v/>
      </c>
      <c r="AD59" s="25" t="str">
        <f t="shared" si="58"/>
        <v/>
      </c>
      <c r="AE59" s="25" t="str">
        <f t="shared" si="59"/>
        <v/>
      </c>
      <c r="AF59" s="25" t="str">
        <f t="shared" si="60"/>
        <v/>
      </c>
      <c r="AG59" s="25" t="str">
        <f t="shared" si="61"/>
        <v/>
      </c>
      <c r="AH59" s="25" t="str">
        <f t="shared" si="62"/>
        <v/>
      </c>
      <c r="AI59" s="25" t="str">
        <f t="shared" si="63"/>
        <v/>
      </c>
      <c r="AJ59" s="25" t="str">
        <f t="shared" si="64"/>
        <v/>
      </c>
      <c r="AK59" s="25" t="str">
        <f t="shared" si="65"/>
        <v/>
      </c>
      <c r="AL59" s="25" t="str">
        <f t="shared" si="66"/>
        <v/>
      </c>
      <c r="AM59" s="25" t="str">
        <f t="shared" si="67"/>
        <v/>
      </c>
      <c r="AN59" s="25" t="str">
        <f t="shared" si="68"/>
        <v/>
      </c>
      <c r="AO59" s="25" t="str">
        <f t="shared" si="69"/>
        <v/>
      </c>
      <c r="AP59" s="25" t="str">
        <f t="shared" si="70"/>
        <v/>
      </c>
      <c r="AQ59" s="25" t="str">
        <f t="shared" si="71"/>
        <v/>
      </c>
      <c r="AR59" s="25" t="str">
        <f t="shared" si="72"/>
        <v/>
      </c>
      <c r="AS59" s="25" t="str">
        <f t="shared" si="73"/>
        <v/>
      </c>
      <c r="AT59" s="25" t="str">
        <f t="shared" si="74"/>
        <v/>
      </c>
      <c r="AU59" s="25" t="str">
        <f t="shared" si="75"/>
        <v/>
      </c>
      <c r="AV59" s="25" t="str">
        <f t="shared" si="76"/>
        <v/>
      </c>
      <c r="AW59" s="25" t="str">
        <f t="shared" si="77"/>
        <v/>
      </c>
      <c r="AX59" s="25" t="str">
        <f t="shared" si="78"/>
        <v/>
      </c>
      <c r="AY59" s="25" t="str">
        <f t="shared" si="79"/>
        <v/>
      </c>
      <c r="AZ59" s="25" t="str">
        <f t="shared" si="80"/>
        <v/>
      </c>
      <c r="BA59" s="25" t="str">
        <f t="shared" si="81"/>
        <v/>
      </c>
      <c r="BB59" s="25" t="str">
        <f t="shared" si="82"/>
        <v/>
      </c>
      <c r="BC59" s="25" t="str">
        <f t="shared" si="83"/>
        <v/>
      </c>
      <c r="BD59" s="25" t="str">
        <f t="shared" si="84"/>
        <v/>
      </c>
      <c r="BE59" s="25" t="str">
        <f t="shared" si="85"/>
        <v/>
      </c>
      <c r="BF59" s="25" t="str">
        <f t="shared" si="86"/>
        <v/>
      </c>
      <c r="BG59" s="25" t="str">
        <f t="shared" si="87"/>
        <v/>
      </c>
      <c r="BH59" s="25" t="str">
        <f t="shared" si="88"/>
        <v/>
      </c>
      <c r="BI59" s="6" t="str">
        <f t="shared" si="89"/>
        <v/>
      </c>
      <c r="BJ59" s="6" t="str">
        <f t="shared" si="90"/>
        <v/>
      </c>
      <c r="BK59" s="6" t="str">
        <f t="shared" si="91"/>
        <v/>
      </c>
      <c r="BL59" s="6" t="str">
        <f t="shared" si="92"/>
        <v/>
      </c>
      <c r="BM59" s="6" t="str">
        <f t="shared" si="93"/>
        <v/>
      </c>
      <c r="BN59" s="6" t="str">
        <f t="shared" si="94"/>
        <v/>
      </c>
      <c r="BO59" s="6" t="str">
        <f t="shared" si="95"/>
        <v/>
      </c>
      <c r="BP59" s="6" t="str">
        <f t="shared" si="96"/>
        <v/>
      </c>
      <c r="BQ59" s="6" t="str">
        <f t="shared" si="97"/>
        <v/>
      </c>
      <c r="BR59" s="6" t="str">
        <f t="shared" si="98"/>
        <v/>
      </c>
      <c r="BS59" s="6" t="str">
        <f t="shared" si="99"/>
        <v/>
      </c>
      <c r="BT59" s="6" t="str">
        <f t="shared" si="100"/>
        <v/>
      </c>
      <c r="BU59" s="6" t="str">
        <f t="shared" si="101"/>
        <v/>
      </c>
      <c r="BV59" s="6" t="str">
        <f t="shared" si="102"/>
        <v/>
      </c>
      <c r="BW59" s="6" t="str">
        <f t="shared" si="103"/>
        <v/>
      </c>
      <c r="BX59" s="6" t="str">
        <f t="shared" si="104"/>
        <v/>
      </c>
    </row>
    <row r="60" spans="3:76" ht="21">
      <c r="C60" s="25">
        <v>50</v>
      </c>
      <c r="D60" s="50"/>
      <c r="E60" s="50"/>
      <c r="F60" s="51" t="s">
        <v>8</v>
      </c>
      <c r="M60" s="25" t="str">
        <f t="shared" si="49"/>
        <v>19</v>
      </c>
      <c r="N60" s="25" t="str">
        <f t="shared" si="50"/>
        <v>11</v>
      </c>
      <c r="O60" s="25" t="str">
        <f t="shared" si="51"/>
        <v>1</v>
      </c>
      <c r="P60" s="25" t="str">
        <f t="shared" si="52"/>
        <v>4</v>
      </c>
      <c r="Q60" s="25" t="str">
        <f t="shared" si="53"/>
        <v>yellow</v>
      </c>
      <c r="R60" s="25" t="str">
        <f t="shared" si="54"/>
        <v>False</v>
      </c>
      <c r="S60" s="25"/>
      <c r="T60" s="25" t="str">
        <f t="shared" si="55"/>
        <v>True</v>
      </c>
      <c r="AA60" s="25" t="str">
        <f t="shared" si="56"/>
        <v/>
      </c>
      <c r="AB60" s="25" t="str">
        <f t="shared" si="57"/>
        <v/>
      </c>
      <c r="AD60" s="25" t="str">
        <f t="shared" si="58"/>
        <v/>
      </c>
      <c r="AE60" s="25" t="str">
        <f t="shared" si="59"/>
        <v/>
      </c>
      <c r="AF60" s="25" t="str">
        <f t="shared" si="60"/>
        <v/>
      </c>
      <c r="AG60" s="25" t="str">
        <f t="shared" si="61"/>
        <v/>
      </c>
      <c r="AH60" s="25" t="str">
        <f t="shared" si="62"/>
        <v/>
      </c>
      <c r="AI60" s="25" t="str">
        <f t="shared" si="63"/>
        <v/>
      </c>
      <c r="AJ60" s="25" t="str">
        <f t="shared" si="64"/>
        <v/>
      </c>
      <c r="AK60" s="25" t="str">
        <f t="shared" si="65"/>
        <v/>
      </c>
      <c r="AL60" s="25" t="str">
        <f t="shared" si="66"/>
        <v/>
      </c>
      <c r="AM60" s="25" t="str">
        <f t="shared" si="67"/>
        <v/>
      </c>
      <c r="AN60" s="25" t="str">
        <f t="shared" si="68"/>
        <v/>
      </c>
      <c r="AO60" s="25" t="str">
        <f t="shared" si="69"/>
        <v/>
      </c>
      <c r="AP60" s="25" t="str">
        <f t="shared" si="70"/>
        <v/>
      </c>
      <c r="AQ60" s="25" t="str">
        <f t="shared" si="71"/>
        <v/>
      </c>
      <c r="AR60" s="25" t="str">
        <f t="shared" si="72"/>
        <v/>
      </c>
      <c r="AS60" s="25" t="str">
        <f t="shared" si="73"/>
        <v/>
      </c>
      <c r="AT60" s="25" t="str">
        <f t="shared" si="74"/>
        <v/>
      </c>
      <c r="AU60" s="25" t="str">
        <f t="shared" si="75"/>
        <v/>
      </c>
      <c r="AV60" s="25" t="str">
        <f t="shared" si="76"/>
        <v/>
      </c>
      <c r="AW60" s="25" t="str">
        <f t="shared" si="77"/>
        <v/>
      </c>
      <c r="AX60" s="25" t="str">
        <f t="shared" si="78"/>
        <v/>
      </c>
      <c r="AY60" s="25" t="str">
        <f t="shared" si="79"/>
        <v/>
      </c>
      <c r="AZ60" s="25" t="str">
        <f t="shared" si="80"/>
        <v/>
      </c>
      <c r="BA60" s="25" t="str">
        <f t="shared" si="81"/>
        <v/>
      </c>
      <c r="BB60" s="25" t="str">
        <f t="shared" si="82"/>
        <v/>
      </c>
      <c r="BC60" s="25" t="str">
        <f t="shared" si="83"/>
        <v/>
      </c>
      <c r="BD60" s="25" t="str">
        <f t="shared" si="84"/>
        <v/>
      </c>
      <c r="BE60" s="25" t="str">
        <f t="shared" si="85"/>
        <v/>
      </c>
      <c r="BF60" s="25" t="str">
        <f t="shared" si="86"/>
        <v/>
      </c>
      <c r="BG60" s="25" t="str">
        <f t="shared" si="87"/>
        <v/>
      </c>
      <c r="BH60" s="25" t="str">
        <f t="shared" si="88"/>
        <v/>
      </c>
      <c r="BI60" s="6" t="str">
        <f t="shared" si="89"/>
        <v/>
      </c>
      <c r="BJ60" s="6" t="str">
        <f t="shared" si="90"/>
        <v/>
      </c>
      <c r="BK60" s="6" t="str">
        <f t="shared" si="91"/>
        <v/>
      </c>
      <c r="BL60" s="6" t="str">
        <f t="shared" si="92"/>
        <v/>
      </c>
      <c r="BM60" s="6" t="str">
        <f t="shared" si="93"/>
        <v/>
      </c>
      <c r="BN60" s="6" t="str">
        <f t="shared" si="94"/>
        <v/>
      </c>
      <c r="BO60" s="6" t="str">
        <f t="shared" si="95"/>
        <v/>
      </c>
      <c r="BP60" s="6" t="str">
        <f t="shared" si="96"/>
        <v/>
      </c>
      <c r="BQ60" s="6" t="str">
        <f t="shared" si="97"/>
        <v/>
      </c>
      <c r="BR60" s="6" t="str">
        <f t="shared" si="98"/>
        <v/>
      </c>
      <c r="BS60" s="6" t="str">
        <f t="shared" si="99"/>
        <v/>
      </c>
      <c r="BT60" s="6" t="str">
        <f t="shared" si="100"/>
        <v/>
      </c>
      <c r="BU60" s="6" t="str">
        <f t="shared" si="101"/>
        <v/>
      </c>
      <c r="BV60" s="6" t="str">
        <f t="shared" si="102"/>
        <v/>
      </c>
      <c r="BW60" s="6" t="str">
        <f t="shared" si="103"/>
        <v/>
      </c>
      <c r="BX60" s="6" t="str">
        <f t="shared" si="104"/>
        <v/>
      </c>
    </row>
    <row r="61" spans="3:76" ht="21">
      <c r="C61" s="25">
        <v>51</v>
      </c>
      <c r="D61" s="50"/>
      <c r="E61" s="50"/>
      <c r="F61" s="51" t="s">
        <v>8</v>
      </c>
      <c r="M61" s="25" t="str">
        <f t="shared" si="49"/>
        <v>19</v>
      </c>
      <c r="N61" s="25" t="str">
        <f t="shared" si="50"/>
        <v>11</v>
      </c>
      <c r="O61" s="25" t="str">
        <f t="shared" si="51"/>
        <v>1</v>
      </c>
      <c r="P61" s="25" t="str">
        <f t="shared" si="52"/>
        <v>4</v>
      </c>
      <c r="Q61" s="25" t="str">
        <f t="shared" si="53"/>
        <v>yellow</v>
      </c>
      <c r="R61" s="25" t="str">
        <f t="shared" si="54"/>
        <v>False</v>
      </c>
      <c r="S61" s="25"/>
      <c r="T61" s="25" t="str">
        <f t="shared" si="55"/>
        <v>True</v>
      </c>
      <c r="AA61" s="25" t="str">
        <f t="shared" si="56"/>
        <v/>
      </c>
      <c r="AB61" s="25" t="str">
        <f t="shared" si="57"/>
        <v/>
      </c>
      <c r="AD61" s="25" t="str">
        <f t="shared" si="58"/>
        <v/>
      </c>
      <c r="AE61" s="25" t="str">
        <f t="shared" si="59"/>
        <v/>
      </c>
      <c r="AF61" s="25" t="str">
        <f t="shared" si="60"/>
        <v/>
      </c>
      <c r="AG61" s="25" t="str">
        <f t="shared" si="61"/>
        <v/>
      </c>
      <c r="AH61" s="25" t="str">
        <f t="shared" si="62"/>
        <v/>
      </c>
      <c r="AI61" s="25" t="str">
        <f t="shared" si="63"/>
        <v/>
      </c>
      <c r="AJ61" s="25" t="str">
        <f t="shared" si="64"/>
        <v/>
      </c>
      <c r="AK61" s="25" t="str">
        <f t="shared" si="65"/>
        <v/>
      </c>
      <c r="AL61" s="25" t="str">
        <f t="shared" si="66"/>
        <v/>
      </c>
      <c r="AM61" s="25" t="str">
        <f t="shared" si="67"/>
        <v/>
      </c>
      <c r="AN61" s="25" t="str">
        <f t="shared" si="68"/>
        <v/>
      </c>
      <c r="AO61" s="25" t="str">
        <f t="shared" si="69"/>
        <v/>
      </c>
      <c r="AP61" s="25" t="str">
        <f t="shared" si="70"/>
        <v/>
      </c>
      <c r="AQ61" s="25" t="str">
        <f t="shared" si="71"/>
        <v/>
      </c>
      <c r="AR61" s="25" t="str">
        <f t="shared" si="72"/>
        <v/>
      </c>
      <c r="AS61" s="25" t="str">
        <f t="shared" si="73"/>
        <v/>
      </c>
      <c r="AT61" s="25" t="str">
        <f t="shared" si="74"/>
        <v/>
      </c>
      <c r="AU61" s="25" t="str">
        <f t="shared" si="75"/>
        <v/>
      </c>
      <c r="AV61" s="25" t="str">
        <f t="shared" si="76"/>
        <v/>
      </c>
      <c r="AW61" s="25" t="str">
        <f t="shared" si="77"/>
        <v/>
      </c>
      <c r="AX61" s="25" t="str">
        <f t="shared" si="78"/>
        <v/>
      </c>
      <c r="AY61" s="25" t="str">
        <f t="shared" si="79"/>
        <v/>
      </c>
      <c r="AZ61" s="25" t="str">
        <f t="shared" si="80"/>
        <v/>
      </c>
      <c r="BA61" s="25" t="str">
        <f t="shared" si="81"/>
        <v/>
      </c>
      <c r="BB61" s="25" t="str">
        <f t="shared" si="82"/>
        <v/>
      </c>
      <c r="BC61" s="25" t="str">
        <f t="shared" si="83"/>
        <v/>
      </c>
      <c r="BD61" s="25" t="str">
        <f t="shared" si="84"/>
        <v/>
      </c>
      <c r="BE61" s="25" t="str">
        <f t="shared" si="85"/>
        <v/>
      </c>
      <c r="BF61" s="25" t="str">
        <f t="shared" si="86"/>
        <v/>
      </c>
      <c r="BG61" s="25" t="str">
        <f t="shared" si="87"/>
        <v/>
      </c>
      <c r="BH61" s="25" t="str">
        <f t="shared" si="88"/>
        <v/>
      </c>
      <c r="BI61" s="6" t="str">
        <f t="shared" si="89"/>
        <v/>
      </c>
      <c r="BJ61" s="6" t="str">
        <f t="shared" si="90"/>
        <v/>
      </c>
      <c r="BK61" s="6" t="str">
        <f t="shared" si="91"/>
        <v/>
      </c>
      <c r="BL61" s="6" t="str">
        <f t="shared" si="92"/>
        <v/>
      </c>
      <c r="BM61" s="6" t="str">
        <f t="shared" si="93"/>
        <v/>
      </c>
      <c r="BN61" s="6" t="str">
        <f t="shared" si="94"/>
        <v/>
      </c>
      <c r="BO61" s="6" t="str">
        <f t="shared" si="95"/>
        <v/>
      </c>
      <c r="BP61" s="6" t="str">
        <f t="shared" si="96"/>
        <v/>
      </c>
      <c r="BQ61" s="6" t="str">
        <f t="shared" si="97"/>
        <v/>
      </c>
      <c r="BR61" s="6" t="str">
        <f t="shared" si="98"/>
        <v/>
      </c>
      <c r="BS61" s="6" t="str">
        <f t="shared" si="99"/>
        <v/>
      </c>
      <c r="BT61" s="6" t="str">
        <f t="shared" si="100"/>
        <v/>
      </c>
      <c r="BU61" s="6" t="str">
        <f t="shared" si="101"/>
        <v/>
      </c>
      <c r="BV61" s="6" t="str">
        <f t="shared" si="102"/>
        <v/>
      </c>
      <c r="BW61" s="6" t="str">
        <f t="shared" si="103"/>
        <v/>
      </c>
      <c r="BX61" s="6" t="str">
        <f t="shared" si="104"/>
        <v/>
      </c>
    </row>
    <row r="62" spans="3:76" ht="21">
      <c r="C62" s="25">
        <v>52</v>
      </c>
      <c r="D62" s="50"/>
      <c r="E62" s="50"/>
      <c r="F62" s="51" t="s">
        <v>8</v>
      </c>
      <c r="M62" s="25" t="str">
        <f t="shared" si="49"/>
        <v>19</v>
      </c>
      <c r="N62" s="25" t="str">
        <f t="shared" si="50"/>
        <v>11</v>
      </c>
      <c r="O62" s="25" t="str">
        <f t="shared" si="51"/>
        <v>1</v>
      </c>
      <c r="P62" s="25" t="str">
        <f t="shared" si="52"/>
        <v>4</v>
      </c>
      <c r="Q62" s="25" t="str">
        <f t="shared" si="53"/>
        <v>yellow</v>
      </c>
      <c r="R62" s="25" t="str">
        <f t="shared" si="54"/>
        <v>False</v>
      </c>
      <c r="S62" s="25"/>
      <c r="T62" s="25" t="str">
        <f t="shared" si="55"/>
        <v>True</v>
      </c>
      <c r="AA62" s="25" t="str">
        <f t="shared" si="56"/>
        <v/>
      </c>
      <c r="AB62" s="25" t="str">
        <f t="shared" si="57"/>
        <v/>
      </c>
      <c r="AD62" s="25" t="str">
        <f t="shared" si="58"/>
        <v/>
      </c>
      <c r="AE62" s="25" t="str">
        <f t="shared" si="59"/>
        <v/>
      </c>
      <c r="AF62" s="25" t="str">
        <f t="shared" si="60"/>
        <v/>
      </c>
      <c r="AG62" s="25" t="str">
        <f t="shared" si="61"/>
        <v/>
      </c>
      <c r="AH62" s="25" t="str">
        <f t="shared" si="62"/>
        <v/>
      </c>
      <c r="AI62" s="25" t="str">
        <f t="shared" si="63"/>
        <v/>
      </c>
      <c r="AJ62" s="25" t="str">
        <f t="shared" si="64"/>
        <v/>
      </c>
      <c r="AK62" s="25" t="str">
        <f t="shared" si="65"/>
        <v/>
      </c>
      <c r="AL62" s="25" t="str">
        <f t="shared" si="66"/>
        <v/>
      </c>
      <c r="AM62" s="25" t="str">
        <f t="shared" si="67"/>
        <v/>
      </c>
      <c r="AN62" s="25" t="str">
        <f t="shared" si="68"/>
        <v/>
      </c>
      <c r="AO62" s="25" t="str">
        <f t="shared" si="69"/>
        <v/>
      </c>
      <c r="AP62" s="25" t="str">
        <f t="shared" si="70"/>
        <v/>
      </c>
      <c r="AQ62" s="25" t="str">
        <f t="shared" si="71"/>
        <v/>
      </c>
      <c r="AR62" s="25" t="str">
        <f t="shared" si="72"/>
        <v/>
      </c>
      <c r="AS62" s="25" t="str">
        <f t="shared" si="73"/>
        <v/>
      </c>
      <c r="AT62" s="25" t="str">
        <f t="shared" si="74"/>
        <v/>
      </c>
      <c r="AU62" s="25" t="str">
        <f t="shared" si="75"/>
        <v/>
      </c>
      <c r="AV62" s="25" t="str">
        <f t="shared" si="76"/>
        <v/>
      </c>
      <c r="AW62" s="25" t="str">
        <f t="shared" si="77"/>
        <v/>
      </c>
      <c r="AX62" s="25" t="str">
        <f t="shared" si="78"/>
        <v/>
      </c>
      <c r="AY62" s="25" t="str">
        <f t="shared" si="79"/>
        <v/>
      </c>
      <c r="AZ62" s="25" t="str">
        <f t="shared" si="80"/>
        <v/>
      </c>
      <c r="BA62" s="25" t="str">
        <f t="shared" si="81"/>
        <v/>
      </c>
      <c r="BB62" s="25" t="str">
        <f t="shared" si="82"/>
        <v/>
      </c>
      <c r="BC62" s="25" t="str">
        <f t="shared" si="83"/>
        <v/>
      </c>
      <c r="BD62" s="25" t="str">
        <f t="shared" si="84"/>
        <v/>
      </c>
      <c r="BE62" s="25" t="str">
        <f t="shared" si="85"/>
        <v/>
      </c>
      <c r="BF62" s="25" t="str">
        <f t="shared" si="86"/>
        <v/>
      </c>
      <c r="BG62" s="25" t="str">
        <f t="shared" si="87"/>
        <v/>
      </c>
      <c r="BH62" s="25" t="str">
        <f t="shared" si="88"/>
        <v/>
      </c>
      <c r="BI62" s="6" t="str">
        <f t="shared" si="89"/>
        <v/>
      </c>
      <c r="BJ62" s="6" t="str">
        <f t="shared" si="90"/>
        <v/>
      </c>
      <c r="BK62" s="6" t="str">
        <f t="shared" si="91"/>
        <v/>
      </c>
      <c r="BL62" s="6" t="str">
        <f t="shared" si="92"/>
        <v/>
      </c>
      <c r="BM62" s="6" t="str">
        <f t="shared" si="93"/>
        <v/>
      </c>
      <c r="BN62" s="6" t="str">
        <f t="shared" si="94"/>
        <v/>
      </c>
      <c r="BO62" s="6" t="str">
        <f t="shared" si="95"/>
        <v/>
      </c>
      <c r="BP62" s="6" t="str">
        <f t="shared" si="96"/>
        <v/>
      </c>
      <c r="BQ62" s="6" t="str">
        <f t="shared" si="97"/>
        <v/>
      </c>
      <c r="BR62" s="6" t="str">
        <f t="shared" si="98"/>
        <v/>
      </c>
      <c r="BS62" s="6" t="str">
        <f t="shared" si="99"/>
        <v/>
      </c>
      <c r="BT62" s="6" t="str">
        <f t="shared" si="100"/>
        <v/>
      </c>
      <c r="BU62" s="6" t="str">
        <f t="shared" si="101"/>
        <v/>
      </c>
      <c r="BV62" s="6" t="str">
        <f t="shared" si="102"/>
        <v/>
      </c>
      <c r="BW62" s="6" t="str">
        <f t="shared" si="103"/>
        <v/>
      </c>
      <c r="BX62" s="6" t="str">
        <f t="shared" si="104"/>
        <v/>
      </c>
    </row>
    <row r="63" spans="3:76" ht="21">
      <c r="C63" s="25">
        <v>53</v>
      </c>
      <c r="D63" s="50"/>
      <c r="E63" s="50"/>
      <c r="F63" s="51" t="s">
        <v>8</v>
      </c>
      <c r="M63" s="25" t="str">
        <f t="shared" si="49"/>
        <v>19</v>
      </c>
      <c r="N63" s="25" t="str">
        <f t="shared" si="50"/>
        <v>11</v>
      </c>
      <c r="O63" s="25" t="str">
        <f t="shared" si="51"/>
        <v>1</v>
      </c>
      <c r="P63" s="25" t="str">
        <f t="shared" si="52"/>
        <v>4</v>
      </c>
      <c r="Q63" s="25" t="str">
        <f t="shared" si="53"/>
        <v>yellow</v>
      </c>
      <c r="R63" s="25" t="str">
        <f t="shared" si="54"/>
        <v>False</v>
      </c>
      <c r="S63" s="25"/>
      <c r="T63" s="25" t="str">
        <f t="shared" si="55"/>
        <v>True</v>
      </c>
      <c r="AA63" s="25" t="str">
        <f t="shared" si="56"/>
        <v/>
      </c>
      <c r="AB63" s="25" t="str">
        <f t="shared" si="57"/>
        <v/>
      </c>
      <c r="AD63" s="25" t="str">
        <f t="shared" si="58"/>
        <v/>
      </c>
      <c r="AE63" s="25" t="str">
        <f t="shared" si="59"/>
        <v/>
      </c>
      <c r="AF63" s="25" t="str">
        <f t="shared" si="60"/>
        <v/>
      </c>
      <c r="AG63" s="25" t="str">
        <f t="shared" si="61"/>
        <v/>
      </c>
      <c r="AH63" s="25" t="str">
        <f t="shared" si="62"/>
        <v/>
      </c>
      <c r="AI63" s="25" t="str">
        <f t="shared" si="63"/>
        <v/>
      </c>
      <c r="AJ63" s="25" t="str">
        <f t="shared" si="64"/>
        <v/>
      </c>
      <c r="AK63" s="25" t="str">
        <f t="shared" si="65"/>
        <v/>
      </c>
      <c r="AL63" s="25" t="str">
        <f t="shared" si="66"/>
        <v/>
      </c>
      <c r="AM63" s="25" t="str">
        <f t="shared" si="67"/>
        <v/>
      </c>
      <c r="AN63" s="25" t="str">
        <f t="shared" si="68"/>
        <v/>
      </c>
      <c r="AO63" s="25" t="str">
        <f t="shared" si="69"/>
        <v/>
      </c>
      <c r="AP63" s="25" t="str">
        <f t="shared" si="70"/>
        <v/>
      </c>
      <c r="AQ63" s="25" t="str">
        <f t="shared" si="71"/>
        <v/>
      </c>
      <c r="AR63" s="25" t="str">
        <f t="shared" si="72"/>
        <v/>
      </c>
      <c r="AS63" s="25" t="str">
        <f t="shared" si="73"/>
        <v/>
      </c>
      <c r="AT63" s="25" t="str">
        <f t="shared" si="74"/>
        <v/>
      </c>
      <c r="AU63" s="25" t="str">
        <f t="shared" si="75"/>
        <v/>
      </c>
      <c r="AV63" s="25" t="str">
        <f t="shared" si="76"/>
        <v/>
      </c>
      <c r="AW63" s="25" t="str">
        <f t="shared" si="77"/>
        <v/>
      </c>
      <c r="AX63" s="25" t="str">
        <f t="shared" si="78"/>
        <v/>
      </c>
      <c r="AY63" s="25" t="str">
        <f t="shared" si="79"/>
        <v/>
      </c>
      <c r="AZ63" s="25" t="str">
        <f t="shared" si="80"/>
        <v/>
      </c>
      <c r="BA63" s="25" t="str">
        <f t="shared" si="81"/>
        <v/>
      </c>
      <c r="BB63" s="25" t="str">
        <f t="shared" si="82"/>
        <v/>
      </c>
      <c r="BC63" s="25" t="str">
        <f t="shared" si="83"/>
        <v/>
      </c>
      <c r="BD63" s="25" t="str">
        <f t="shared" si="84"/>
        <v/>
      </c>
      <c r="BE63" s="25" t="str">
        <f t="shared" si="85"/>
        <v/>
      </c>
      <c r="BF63" s="25" t="str">
        <f t="shared" si="86"/>
        <v/>
      </c>
      <c r="BG63" s="25" t="str">
        <f t="shared" si="87"/>
        <v/>
      </c>
      <c r="BH63" s="25" t="str">
        <f t="shared" si="88"/>
        <v/>
      </c>
      <c r="BI63" s="6" t="str">
        <f t="shared" si="89"/>
        <v/>
      </c>
      <c r="BJ63" s="6" t="str">
        <f t="shared" si="90"/>
        <v/>
      </c>
      <c r="BK63" s="6" t="str">
        <f t="shared" si="91"/>
        <v/>
      </c>
      <c r="BL63" s="6" t="str">
        <f t="shared" si="92"/>
        <v/>
      </c>
      <c r="BM63" s="6" t="str">
        <f t="shared" si="93"/>
        <v/>
      </c>
      <c r="BN63" s="6" t="str">
        <f t="shared" si="94"/>
        <v/>
      </c>
      <c r="BO63" s="6" t="str">
        <f t="shared" si="95"/>
        <v/>
      </c>
      <c r="BP63" s="6" t="str">
        <f t="shared" si="96"/>
        <v/>
      </c>
      <c r="BQ63" s="6" t="str">
        <f t="shared" si="97"/>
        <v/>
      </c>
      <c r="BR63" s="6" t="str">
        <f t="shared" si="98"/>
        <v/>
      </c>
      <c r="BS63" s="6" t="str">
        <f t="shared" si="99"/>
        <v/>
      </c>
      <c r="BT63" s="6" t="str">
        <f t="shared" si="100"/>
        <v/>
      </c>
      <c r="BU63" s="6" t="str">
        <f t="shared" si="101"/>
        <v/>
      </c>
      <c r="BV63" s="6" t="str">
        <f t="shared" si="102"/>
        <v/>
      </c>
      <c r="BW63" s="6" t="str">
        <f t="shared" si="103"/>
        <v/>
      </c>
      <c r="BX63" s="6" t="str">
        <f t="shared" si="104"/>
        <v/>
      </c>
    </row>
    <row r="64" spans="3:76" ht="21">
      <c r="C64" s="25">
        <v>54</v>
      </c>
      <c r="D64" s="50"/>
      <c r="E64" s="50"/>
      <c r="F64" s="51" t="s">
        <v>8</v>
      </c>
      <c r="M64" s="25" t="str">
        <f t="shared" si="49"/>
        <v>19</v>
      </c>
      <c r="N64" s="25" t="str">
        <f t="shared" si="50"/>
        <v>11</v>
      </c>
      <c r="O64" s="25" t="str">
        <f t="shared" si="51"/>
        <v>1</v>
      </c>
      <c r="P64" s="25" t="str">
        <f t="shared" si="52"/>
        <v>4</v>
      </c>
      <c r="Q64" s="25" t="str">
        <f t="shared" si="53"/>
        <v>yellow</v>
      </c>
      <c r="R64" s="25" t="str">
        <f t="shared" si="54"/>
        <v>False</v>
      </c>
      <c r="S64" s="25"/>
      <c r="T64" s="25" t="str">
        <f t="shared" si="55"/>
        <v>True</v>
      </c>
      <c r="AA64" s="25" t="str">
        <f t="shared" si="56"/>
        <v/>
      </c>
      <c r="AB64" s="25" t="str">
        <f t="shared" si="57"/>
        <v/>
      </c>
      <c r="AD64" s="25" t="str">
        <f t="shared" si="58"/>
        <v/>
      </c>
      <c r="AE64" s="25" t="str">
        <f t="shared" si="59"/>
        <v/>
      </c>
      <c r="AF64" s="25" t="str">
        <f t="shared" si="60"/>
        <v/>
      </c>
      <c r="AG64" s="25" t="str">
        <f t="shared" si="61"/>
        <v/>
      </c>
      <c r="AH64" s="25" t="str">
        <f t="shared" si="62"/>
        <v/>
      </c>
      <c r="AI64" s="25" t="str">
        <f t="shared" si="63"/>
        <v/>
      </c>
      <c r="AJ64" s="25" t="str">
        <f t="shared" si="64"/>
        <v/>
      </c>
      <c r="AK64" s="25" t="str">
        <f t="shared" si="65"/>
        <v/>
      </c>
      <c r="AL64" s="25" t="str">
        <f t="shared" si="66"/>
        <v/>
      </c>
      <c r="AM64" s="25" t="str">
        <f t="shared" si="67"/>
        <v/>
      </c>
      <c r="AN64" s="25" t="str">
        <f t="shared" si="68"/>
        <v/>
      </c>
      <c r="AO64" s="25" t="str">
        <f t="shared" si="69"/>
        <v/>
      </c>
      <c r="AP64" s="25" t="str">
        <f t="shared" si="70"/>
        <v/>
      </c>
      <c r="AQ64" s="25" t="str">
        <f t="shared" si="71"/>
        <v/>
      </c>
      <c r="AR64" s="25" t="str">
        <f t="shared" si="72"/>
        <v/>
      </c>
      <c r="AS64" s="25" t="str">
        <f t="shared" si="73"/>
        <v/>
      </c>
      <c r="AT64" s="25" t="str">
        <f t="shared" si="74"/>
        <v/>
      </c>
      <c r="AU64" s="25" t="str">
        <f t="shared" si="75"/>
        <v/>
      </c>
      <c r="AV64" s="25" t="str">
        <f t="shared" si="76"/>
        <v/>
      </c>
      <c r="AW64" s="25" t="str">
        <f t="shared" si="77"/>
        <v/>
      </c>
      <c r="AX64" s="25" t="str">
        <f t="shared" si="78"/>
        <v/>
      </c>
      <c r="AY64" s="25" t="str">
        <f t="shared" si="79"/>
        <v/>
      </c>
      <c r="AZ64" s="25" t="str">
        <f t="shared" si="80"/>
        <v/>
      </c>
      <c r="BA64" s="25" t="str">
        <f t="shared" si="81"/>
        <v/>
      </c>
      <c r="BB64" s="25" t="str">
        <f t="shared" si="82"/>
        <v/>
      </c>
      <c r="BC64" s="25" t="str">
        <f t="shared" si="83"/>
        <v/>
      </c>
      <c r="BD64" s="25" t="str">
        <f t="shared" si="84"/>
        <v/>
      </c>
      <c r="BE64" s="25" t="str">
        <f t="shared" si="85"/>
        <v/>
      </c>
      <c r="BF64" s="25" t="str">
        <f t="shared" si="86"/>
        <v/>
      </c>
      <c r="BG64" s="25" t="str">
        <f t="shared" si="87"/>
        <v/>
      </c>
      <c r="BH64" s="25" t="str">
        <f t="shared" si="88"/>
        <v/>
      </c>
      <c r="BI64" s="6" t="str">
        <f t="shared" si="89"/>
        <v/>
      </c>
      <c r="BJ64" s="6" t="str">
        <f t="shared" si="90"/>
        <v/>
      </c>
      <c r="BK64" s="6" t="str">
        <f t="shared" si="91"/>
        <v/>
      </c>
      <c r="BL64" s="6" t="str">
        <f t="shared" si="92"/>
        <v/>
      </c>
      <c r="BM64" s="6" t="str">
        <f t="shared" si="93"/>
        <v/>
      </c>
      <c r="BN64" s="6" t="str">
        <f t="shared" si="94"/>
        <v/>
      </c>
      <c r="BO64" s="6" t="str">
        <f t="shared" si="95"/>
        <v/>
      </c>
      <c r="BP64" s="6" t="str">
        <f t="shared" si="96"/>
        <v/>
      </c>
      <c r="BQ64" s="6" t="str">
        <f t="shared" si="97"/>
        <v/>
      </c>
      <c r="BR64" s="6" t="str">
        <f t="shared" si="98"/>
        <v/>
      </c>
      <c r="BS64" s="6" t="str">
        <f t="shared" si="99"/>
        <v/>
      </c>
      <c r="BT64" s="6" t="str">
        <f t="shared" si="100"/>
        <v/>
      </c>
      <c r="BU64" s="6" t="str">
        <f t="shared" si="101"/>
        <v/>
      </c>
      <c r="BV64" s="6" t="str">
        <f t="shared" si="102"/>
        <v/>
      </c>
      <c r="BW64" s="6" t="str">
        <f t="shared" si="103"/>
        <v/>
      </c>
      <c r="BX64" s="6" t="str">
        <f t="shared" si="104"/>
        <v/>
      </c>
    </row>
    <row r="65" spans="3:76" ht="21">
      <c r="C65" s="25">
        <v>55</v>
      </c>
      <c r="D65" s="50"/>
      <c r="E65" s="50"/>
      <c r="F65" s="51" t="s">
        <v>8</v>
      </c>
      <c r="M65" s="25" t="str">
        <f t="shared" si="49"/>
        <v>19</v>
      </c>
      <c r="N65" s="25" t="str">
        <f t="shared" si="50"/>
        <v>11</v>
      </c>
      <c r="O65" s="25" t="str">
        <f t="shared" si="51"/>
        <v>1</v>
      </c>
      <c r="P65" s="25" t="str">
        <f t="shared" si="52"/>
        <v>4</v>
      </c>
      <c r="Q65" s="25" t="str">
        <f t="shared" si="53"/>
        <v>yellow</v>
      </c>
      <c r="R65" s="25" t="str">
        <f t="shared" si="54"/>
        <v>False</v>
      </c>
      <c r="S65" s="25"/>
      <c r="T65" s="25" t="str">
        <f t="shared" si="55"/>
        <v>True</v>
      </c>
      <c r="AA65" s="25" t="str">
        <f t="shared" si="56"/>
        <v/>
      </c>
      <c r="AB65" s="25" t="str">
        <f t="shared" si="57"/>
        <v/>
      </c>
      <c r="AD65" s="25" t="str">
        <f t="shared" si="58"/>
        <v/>
      </c>
      <c r="AE65" s="25" t="str">
        <f t="shared" si="59"/>
        <v/>
      </c>
      <c r="AF65" s="25" t="str">
        <f t="shared" si="60"/>
        <v/>
      </c>
      <c r="AG65" s="25" t="str">
        <f t="shared" si="61"/>
        <v/>
      </c>
      <c r="AH65" s="25" t="str">
        <f t="shared" si="62"/>
        <v/>
      </c>
      <c r="AI65" s="25" t="str">
        <f t="shared" si="63"/>
        <v/>
      </c>
      <c r="AJ65" s="25" t="str">
        <f t="shared" si="64"/>
        <v/>
      </c>
      <c r="AK65" s="25" t="str">
        <f t="shared" si="65"/>
        <v/>
      </c>
      <c r="AL65" s="25" t="str">
        <f t="shared" si="66"/>
        <v/>
      </c>
      <c r="AM65" s="25" t="str">
        <f t="shared" si="67"/>
        <v/>
      </c>
      <c r="AN65" s="25" t="str">
        <f t="shared" si="68"/>
        <v/>
      </c>
      <c r="AO65" s="25" t="str">
        <f t="shared" si="69"/>
        <v/>
      </c>
      <c r="AP65" s="25" t="str">
        <f t="shared" si="70"/>
        <v/>
      </c>
      <c r="AQ65" s="25" t="str">
        <f t="shared" si="71"/>
        <v/>
      </c>
      <c r="AR65" s="25" t="str">
        <f t="shared" si="72"/>
        <v/>
      </c>
      <c r="AS65" s="25" t="str">
        <f t="shared" si="73"/>
        <v/>
      </c>
      <c r="AT65" s="25" t="str">
        <f t="shared" si="74"/>
        <v/>
      </c>
      <c r="AU65" s="25" t="str">
        <f t="shared" si="75"/>
        <v/>
      </c>
      <c r="AV65" s="25" t="str">
        <f t="shared" si="76"/>
        <v/>
      </c>
      <c r="AW65" s="25" t="str">
        <f t="shared" si="77"/>
        <v/>
      </c>
      <c r="AX65" s="25" t="str">
        <f t="shared" si="78"/>
        <v/>
      </c>
      <c r="AY65" s="25" t="str">
        <f t="shared" si="79"/>
        <v/>
      </c>
      <c r="AZ65" s="25" t="str">
        <f t="shared" si="80"/>
        <v/>
      </c>
      <c r="BA65" s="25" t="str">
        <f t="shared" si="81"/>
        <v/>
      </c>
      <c r="BB65" s="25" t="str">
        <f t="shared" si="82"/>
        <v/>
      </c>
      <c r="BC65" s="25" t="str">
        <f t="shared" si="83"/>
        <v/>
      </c>
      <c r="BD65" s="25" t="str">
        <f t="shared" si="84"/>
        <v/>
      </c>
      <c r="BE65" s="25" t="str">
        <f t="shared" si="85"/>
        <v/>
      </c>
      <c r="BF65" s="25" t="str">
        <f t="shared" si="86"/>
        <v/>
      </c>
      <c r="BG65" s="25" t="str">
        <f t="shared" si="87"/>
        <v/>
      </c>
      <c r="BH65" s="25" t="str">
        <f t="shared" si="88"/>
        <v/>
      </c>
      <c r="BI65" s="6" t="str">
        <f t="shared" si="89"/>
        <v/>
      </c>
      <c r="BJ65" s="6" t="str">
        <f t="shared" si="90"/>
        <v/>
      </c>
      <c r="BK65" s="6" t="str">
        <f t="shared" si="91"/>
        <v/>
      </c>
      <c r="BL65" s="6" t="str">
        <f t="shared" si="92"/>
        <v/>
      </c>
      <c r="BM65" s="6" t="str">
        <f t="shared" si="93"/>
        <v/>
      </c>
      <c r="BN65" s="6" t="str">
        <f t="shared" si="94"/>
        <v/>
      </c>
      <c r="BO65" s="6" t="str">
        <f t="shared" si="95"/>
        <v/>
      </c>
      <c r="BP65" s="6" t="str">
        <f t="shared" si="96"/>
        <v/>
      </c>
      <c r="BQ65" s="6" t="str">
        <f t="shared" si="97"/>
        <v/>
      </c>
      <c r="BR65" s="6" t="str">
        <f t="shared" si="98"/>
        <v/>
      </c>
      <c r="BS65" s="6" t="str">
        <f t="shared" si="99"/>
        <v/>
      </c>
      <c r="BT65" s="6" t="str">
        <f t="shared" si="100"/>
        <v/>
      </c>
      <c r="BU65" s="6" t="str">
        <f t="shared" si="101"/>
        <v/>
      </c>
      <c r="BV65" s="6" t="str">
        <f t="shared" si="102"/>
        <v/>
      </c>
      <c r="BW65" s="6" t="str">
        <f t="shared" si="103"/>
        <v/>
      </c>
      <c r="BX65" s="6" t="str">
        <f t="shared" si="104"/>
        <v/>
      </c>
    </row>
    <row r="66" spans="3:76" ht="21">
      <c r="C66" s="25">
        <v>56</v>
      </c>
      <c r="D66" s="50"/>
      <c r="E66" s="50"/>
      <c r="F66" s="51" t="s">
        <v>8</v>
      </c>
      <c r="M66" s="25" t="str">
        <f t="shared" si="49"/>
        <v>19</v>
      </c>
      <c r="N66" s="25" t="str">
        <f t="shared" si="50"/>
        <v>11</v>
      </c>
      <c r="O66" s="25" t="str">
        <f t="shared" si="51"/>
        <v>1</v>
      </c>
      <c r="P66" s="25" t="str">
        <f t="shared" si="52"/>
        <v>4</v>
      </c>
      <c r="Q66" s="25" t="str">
        <f t="shared" si="53"/>
        <v>yellow</v>
      </c>
      <c r="R66" s="25" t="str">
        <f t="shared" si="54"/>
        <v>False</v>
      </c>
      <c r="S66" s="25"/>
      <c r="T66" s="25" t="str">
        <f t="shared" si="55"/>
        <v>True</v>
      </c>
      <c r="AA66" s="25" t="str">
        <f t="shared" si="56"/>
        <v/>
      </c>
      <c r="AB66" s="25" t="str">
        <f t="shared" si="57"/>
        <v/>
      </c>
      <c r="AD66" s="25" t="str">
        <f t="shared" si="58"/>
        <v/>
      </c>
      <c r="AE66" s="25" t="str">
        <f t="shared" si="59"/>
        <v/>
      </c>
      <c r="AF66" s="25" t="str">
        <f t="shared" si="60"/>
        <v/>
      </c>
      <c r="AG66" s="25" t="str">
        <f t="shared" si="61"/>
        <v/>
      </c>
      <c r="AH66" s="25" t="str">
        <f t="shared" si="62"/>
        <v/>
      </c>
      <c r="AI66" s="25" t="str">
        <f t="shared" si="63"/>
        <v/>
      </c>
      <c r="AJ66" s="25" t="str">
        <f t="shared" si="64"/>
        <v/>
      </c>
      <c r="AK66" s="25" t="str">
        <f t="shared" si="65"/>
        <v/>
      </c>
      <c r="AL66" s="25" t="str">
        <f t="shared" si="66"/>
        <v/>
      </c>
      <c r="AM66" s="25" t="str">
        <f t="shared" si="67"/>
        <v/>
      </c>
      <c r="AN66" s="25" t="str">
        <f t="shared" si="68"/>
        <v/>
      </c>
      <c r="AO66" s="25" t="str">
        <f t="shared" si="69"/>
        <v/>
      </c>
      <c r="AP66" s="25" t="str">
        <f t="shared" si="70"/>
        <v/>
      </c>
      <c r="AQ66" s="25" t="str">
        <f t="shared" si="71"/>
        <v/>
      </c>
      <c r="AR66" s="25" t="str">
        <f t="shared" si="72"/>
        <v/>
      </c>
      <c r="AS66" s="25" t="str">
        <f t="shared" si="73"/>
        <v/>
      </c>
      <c r="AT66" s="25" t="str">
        <f t="shared" si="74"/>
        <v/>
      </c>
      <c r="AU66" s="25" t="str">
        <f t="shared" si="75"/>
        <v/>
      </c>
      <c r="AV66" s="25" t="str">
        <f t="shared" si="76"/>
        <v/>
      </c>
      <c r="AW66" s="25" t="str">
        <f t="shared" si="77"/>
        <v/>
      </c>
      <c r="AX66" s="25" t="str">
        <f t="shared" si="78"/>
        <v/>
      </c>
      <c r="AY66" s="25" t="str">
        <f t="shared" si="79"/>
        <v/>
      </c>
      <c r="AZ66" s="25" t="str">
        <f t="shared" si="80"/>
        <v/>
      </c>
      <c r="BA66" s="25" t="str">
        <f t="shared" si="81"/>
        <v/>
      </c>
      <c r="BB66" s="25" t="str">
        <f t="shared" si="82"/>
        <v/>
      </c>
      <c r="BC66" s="25" t="str">
        <f t="shared" si="83"/>
        <v/>
      </c>
      <c r="BD66" s="25" t="str">
        <f t="shared" si="84"/>
        <v/>
      </c>
      <c r="BE66" s="25" t="str">
        <f t="shared" si="85"/>
        <v/>
      </c>
      <c r="BF66" s="25" t="str">
        <f t="shared" si="86"/>
        <v/>
      </c>
      <c r="BG66" s="25" t="str">
        <f t="shared" si="87"/>
        <v/>
      </c>
      <c r="BH66" s="25" t="str">
        <f t="shared" si="88"/>
        <v/>
      </c>
      <c r="BI66" s="6" t="str">
        <f t="shared" si="89"/>
        <v/>
      </c>
      <c r="BJ66" s="6" t="str">
        <f t="shared" si="90"/>
        <v/>
      </c>
      <c r="BK66" s="6" t="str">
        <f t="shared" si="91"/>
        <v/>
      </c>
      <c r="BL66" s="6" t="str">
        <f t="shared" si="92"/>
        <v/>
      </c>
      <c r="BM66" s="6" t="str">
        <f t="shared" si="93"/>
        <v/>
      </c>
      <c r="BN66" s="6" t="str">
        <f t="shared" si="94"/>
        <v/>
      </c>
      <c r="BO66" s="6" t="str">
        <f t="shared" si="95"/>
        <v/>
      </c>
      <c r="BP66" s="6" t="str">
        <f t="shared" si="96"/>
        <v/>
      </c>
      <c r="BQ66" s="6" t="str">
        <f t="shared" si="97"/>
        <v/>
      </c>
      <c r="BR66" s="6" t="str">
        <f t="shared" si="98"/>
        <v/>
      </c>
      <c r="BS66" s="6" t="str">
        <f t="shared" si="99"/>
        <v/>
      </c>
      <c r="BT66" s="6" t="str">
        <f t="shared" si="100"/>
        <v/>
      </c>
      <c r="BU66" s="6" t="str">
        <f t="shared" si="101"/>
        <v/>
      </c>
      <c r="BV66" s="6" t="str">
        <f t="shared" si="102"/>
        <v/>
      </c>
      <c r="BW66" s="6" t="str">
        <f t="shared" si="103"/>
        <v/>
      </c>
      <c r="BX66" s="6" t="str">
        <f t="shared" si="104"/>
        <v/>
      </c>
    </row>
    <row r="67" spans="3:76" ht="21">
      <c r="C67" s="25">
        <v>57</v>
      </c>
      <c r="D67" s="50"/>
      <c r="E67" s="50"/>
      <c r="F67" s="51" t="s">
        <v>8</v>
      </c>
      <c r="M67" s="25" t="str">
        <f t="shared" si="49"/>
        <v>19</v>
      </c>
      <c r="N67" s="25" t="str">
        <f t="shared" si="50"/>
        <v>11</v>
      </c>
      <c r="O67" s="25" t="str">
        <f t="shared" si="51"/>
        <v>1</v>
      </c>
      <c r="P67" s="25" t="str">
        <f t="shared" si="52"/>
        <v>4</v>
      </c>
      <c r="Q67" s="25" t="str">
        <f t="shared" si="53"/>
        <v>yellow</v>
      </c>
      <c r="R67" s="25" t="str">
        <f t="shared" si="54"/>
        <v>False</v>
      </c>
      <c r="S67" s="25"/>
      <c r="T67" s="25" t="str">
        <f t="shared" si="55"/>
        <v>True</v>
      </c>
      <c r="AA67" s="25" t="str">
        <f t="shared" si="56"/>
        <v/>
      </c>
      <c r="AB67" s="25" t="str">
        <f t="shared" si="57"/>
        <v/>
      </c>
      <c r="AD67" s="25" t="str">
        <f t="shared" si="58"/>
        <v/>
      </c>
      <c r="AE67" s="25" t="str">
        <f t="shared" si="59"/>
        <v/>
      </c>
      <c r="AF67" s="25" t="str">
        <f t="shared" si="60"/>
        <v/>
      </c>
      <c r="AG67" s="25" t="str">
        <f t="shared" si="61"/>
        <v/>
      </c>
      <c r="AH67" s="25" t="str">
        <f t="shared" si="62"/>
        <v/>
      </c>
      <c r="AI67" s="25" t="str">
        <f t="shared" si="63"/>
        <v/>
      </c>
      <c r="AJ67" s="25" t="str">
        <f t="shared" si="64"/>
        <v/>
      </c>
      <c r="AK67" s="25" t="str">
        <f t="shared" si="65"/>
        <v/>
      </c>
      <c r="AL67" s="25" t="str">
        <f t="shared" si="66"/>
        <v/>
      </c>
      <c r="AM67" s="25" t="str">
        <f t="shared" si="67"/>
        <v/>
      </c>
      <c r="AN67" s="25" t="str">
        <f t="shared" si="68"/>
        <v/>
      </c>
      <c r="AO67" s="25" t="str">
        <f t="shared" si="69"/>
        <v/>
      </c>
      <c r="AP67" s="25" t="str">
        <f t="shared" si="70"/>
        <v/>
      </c>
      <c r="AQ67" s="25" t="str">
        <f t="shared" si="71"/>
        <v/>
      </c>
      <c r="AR67" s="25" t="str">
        <f t="shared" si="72"/>
        <v/>
      </c>
      <c r="AS67" s="25" t="str">
        <f t="shared" si="73"/>
        <v/>
      </c>
      <c r="AT67" s="25" t="str">
        <f t="shared" si="74"/>
        <v/>
      </c>
      <c r="AU67" s="25" t="str">
        <f t="shared" si="75"/>
        <v/>
      </c>
      <c r="AV67" s="25" t="str">
        <f t="shared" si="76"/>
        <v/>
      </c>
      <c r="AW67" s="25" t="str">
        <f t="shared" si="77"/>
        <v/>
      </c>
      <c r="AX67" s="25" t="str">
        <f t="shared" si="78"/>
        <v/>
      </c>
      <c r="AY67" s="25" t="str">
        <f t="shared" si="79"/>
        <v/>
      </c>
      <c r="AZ67" s="25" t="str">
        <f t="shared" si="80"/>
        <v/>
      </c>
      <c r="BA67" s="25" t="str">
        <f t="shared" si="81"/>
        <v/>
      </c>
      <c r="BB67" s="25" t="str">
        <f t="shared" si="82"/>
        <v/>
      </c>
      <c r="BC67" s="25" t="str">
        <f t="shared" si="83"/>
        <v/>
      </c>
      <c r="BD67" s="25" t="str">
        <f t="shared" si="84"/>
        <v/>
      </c>
      <c r="BE67" s="25" t="str">
        <f t="shared" si="85"/>
        <v/>
      </c>
      <c r="BF67" s="25" t="str">
        <f t="shared" si="86"/>
        <v/>
      </c>
      <c r="BG67" s="25" t="str">
        <f t="shared" si="87"/>
        <v/>
      </c>
      <c r="BH67" s="25" t="str">
        <f t="shared" si="88"/>
        <v/>
      </c>
      <c r="BI67" s="6" t="str">
        <f t="shared" si="89"/>
        <v/>
      </c>
      <c r="BJ67" s="6" t="str">
        <f t="shared" si="90"/>
        <v/>
      </c>
      <c r="BK67" s="6" t="str">
        <f t="shared" si="91"/>
        <v/>
      </c>
      <c r="BL67" s="6" t="str">
        <f t="shared" si="92"/>
        <v/>
      </c>
      <c r="BM67" s="6" t="str">
        <f t="shared" si="93"/>
        <v/>
      </c>
      <c r="BN67" s="6" t="str">
        <f t="shared" si="94"/>
        <v/>
      </c>
      <c r="BO67" s="6" t="str">
        <f t="shared" si="95"/>
        <v/>
      </c>
      <c r="BP67" s="6" t="str">
        <f t="shared" si="96"/>
        <v/>
      </c>
      <c r="BQ67" s="6" t="str">
        <f t="shared" si="97"/>
        <v/>
      </c>
      <c r="BR67" s="6" t="str">
        <f t="shared" si="98"/>
        <v/>
      </c>
      <c r="BS67" s="6" t="str">
        <f t="shared" si="99"/>
        <v/>
      </c>
      <c r="BT67" s="6" t="str">
        <f t="shared" si="100"/>
        <v/>
      </c>
      <c r="BU67" s="6" t="str">
        <f t="shared" si="101"/>
        <v/>
      </c>
      <c r="BV67" s="6" t="str">
        <f t="shared" si="102"/>
        <v/>
      </c>
      <c r="BW67" s="6" t="str">
        <f t="shared" si="103"/>
        <v/>
      </c>
      <c r="BX67" s="6" t="str">
        <f t="shared" si="104"/>
        <v/>
      </c>
    </row>
    <row r="68" spans="3:76" ht="21">
      <c r="C68" s="25">
        <v>58</v>
      </c>
      <c r="D68" s="50"/>
      <c r="E68" s="50"/>
      <c r="F68" s="51" t="s">
        <v>8</v>
      </c>
      <c r="M68" s="25" t="str">
        <f t="shared" si="49"/>
        <v>19</v>
      </c>
      <c r="N68" s="25" t="str">
        <f t="shared" si="50"/>
        <v>11</v>
      </c>
      <c r="O68" s="25" t="str">
        <f t="shared" si="51"/>
        <v>1</v>
      </c>
      <c r="P68" s="25" t="str">
        <f t="shared" si="52"/>
        <v>4</v>
      </c>
      <c r="Q68" s="25" t="str">
        <f t="shared" si="53"/>
        <v>yellow</v>
      </c>
      <c r="R68" s="25" t="str">
        <f t="shared" si="54"/>
        <v>False</v>
      </c>
      <c r="S68" s="25"/>
      <c r="T68" s="25" t="str">
        <f t="shared" si="55"/>
        <v>True</v>
      </c>
      <c r="AA68" s="25" t="str">
        <f t="shared" si="56"/>
        <v/>
      </c>
      <c r="AB68" s="25" t="str">
        <f t="shared" si="57"/>
        <v/>
      </c>
      <c r="AD68" s="25" t="str">
        <f t="shared" si="58"/>
        <v/>
      </c>
      <c r="AE68" s="25" t="str">
        <f t="shared" si="59"/>
        <v/>
      </c>
      <c r="AF68" s="25" t="str">
        <f t="shared" si="60"/>
        <v/>
      </c>
      <c r="AG68" s="25" t="str">
        <f t="shared" si="61"/>
        <v/>
      </c>
      <c r="AH68" s="25" t="str">
        <f t="shared" si="62"/>
        <v/>
      </c>
      <c r="AI68" s="25" t="str">
        <f t="shared" si="63"/>
        <v/>
      </c>
      <c r="AJ68" s="25" t="str">
        <f t="shared" si="64"/>
        <v/>
      </c>
      <c r="AK68" s="25" t="str">
        <f t="shared" si="65"/>
        <v/>
      </c>
      <c r="AL68" s="25" t="str">
        <f t="shared" si="66"/>
        <v/>
      </c>
      <c r="AM68" s="25" t="str">
        <f t="shared" si="67"/>
        <v/>
      </c>
      <c r="AN68" s="25" t="str">
        <f t="shared" si="68"/>
        <v/>
      </c>
      <c r="AO68" s="25" t="str">
        <f t="shared" si="69"/>
        <v/>
      </c>
      <c r="AP68" s="25" t="str">
        <f t="shared" si="70"/>
        <v/>
      </c>
      <c r="AQ68" s="25" t="str">
        <f t="shared" si="71"/>
        <v/>
      </c>
      <c r="AR68" s="25" t="str">
        <f t="shared" si="72"/>
        <v/>
      </c>
      <c r="AS68" s="25" t="str">
        <f t="shared" si="73"/>
        <v/>
      </c>
      <c r="AT68" s="25" t="str">
        <f t="shared" si="74"/>
        <v/>
      </c>
      <c r="AU68" s="25" t="str">
        <f t="shared" si="75"/>
        <v/>
      </c>
      <c r="AV68" s="25" t="str">
        <f t="shared" si="76"/>
        <v/>
      </c>
      <c r="AW68" s="25" t="str">
        <f t="shared" si="77"/>
        <v/>
      </c>
      <c r="AX68" s="25" t="str">
        <f t="shared" si="78"/>
        <v/>
      </c>
      <c r="AY68" s="25" t="str">
        <f t="shared" si="79"/>
        <v/>
      </c>
      <c r="AZ68" s="25" t="str">
        <f t="shared" si="80"/>
        <v/>
      </c>
      <c r="BA68" s="25" t="str">
        <f t="shared" si="81"/>
        <v/>
      </c>
      <c r="BB68" s="25" t="str">
        <f t="shared" si="82"/>
        <v/>
      </c>
      <c r="BC68" s="25" t="str">
        <f t="shared" si="83"/>
        <v/>
      </c>
      <c r="BD68" s="25" t="str">
        <f t="shared" si="84"/>
        <v/>
      </c>
      <c r="BE68" s="25" t="str">
        <f t="shared" si="85"/>
        <v/>
      </c>
      <c r="BF68" s="25" t="str">
        <f t="shared" si="86"/>
        <v/>
      </c>
      <c r="BG68" s="25" t="str">
        <f t="shared" si="87"/>
        <v/>
      </c>
      <c r="BH68" s="25" t="str">
        <f t="shared" si="88"/>
        <v/>
      </c>
      <c r="BI68" s="6" t="str">
        <f t="shared" si="89"/>
        <v/>
      </c>
      <c r="BJ68" s="6" t="str">
        <f t="shared" si="90"/>
        <v/>
      </c>
      <c r="BK68" s="6" t="str">
        <f t="shared" si="91"/>
        <v/>
      </c>
      <c r="BL68" s="6" t="str">
        <f t="shared" si="92"/>
        <v/>
      </c>
      <c r="BM68" s="6" t="str">
        <f t="shared" si="93"/>
        <v/>
      </c>
      <c r="BN68" s="6" t="str">
        <f t="shared" si="94"/>
        <v/>
      </c>
      <c r="BO68" s="6" t="str">
        <f t="shared" si="95"/>
        <v/>
      </c>
      <c r="BP68" s="6" t="str">
        <f t="shared" si="96"/>
        <v/>
      </c>
      <c r="BQ68" s="6" t="str">
        <f t="shared" si="97"/>
        <v/>
      </c>
      <c r="BR68" s="6" t="str">
        <f t="shared" si="98"/>
        <v/>
      </c>
      <c r="BS68" s="6" t="str">
        <f t="shared" si="99"/>
        <v/>
      </c>
      <c r="BT68" s="6" t="str">
        <f t="shared" si="100"/>
        <v/>
      </c>
      <c r="BU68" s="6" t="str">
        <f t="shared" si="101"/>
        <v/>
      </c>
      <c r="BV68" s="6" t="str">
        <f t="shared" si="102"/>
        <v/>
      </c>
      <c r="BW68" s="6" t="str">
        <f t="shared" si="103"/>
        <v/>
      </c>
      <c r="BX68" s="6" t="str">
        <f t="shared" si="104"/>
        <v/>
      </c>
    </row>
    <row r="69" spans="3:76" ht="21">
      <c r="C69" s="25">
        <v>59</v>
      </c>
      <c r="D69" s="50"/>
      <c r="E69" s="50"/>
      <c r="F69" s="51" t="s">
        <v>8</v>
      </c>
      <c r="M69" s="25" t="str">
        <f t="shared" si="49"/>
        <v>19</v>
      </c>
      <c r="N69" s="25" t="str">
        <f t="shared" si="50"/>
        <v>11</v>
      </c>
      <c r="O69" s="25" t="str">
        <f t="shared" si="51"/>
        <v>1</v>
      </c>
      <c r="P69" s="25" t="str">
        <f t="shared" si="52"/>
        <v>4</v>
      </c>
      <c r="Q69" s="25" t="str">
        <f t="shared" si="53"/>
        <v>yellow</v>
      </c>
      <c r="R69" s="25" t="str">
        <f t="shared" si="54"/>
        <v>False</v>
      </c>
      <c r="S69" s="25"/>
      <c r="T69" s="25" t="str">
        <f t="shared" si="55"/>
        <v>True</v>
      </c>
      <c r="AA69" s="25" t="str">
        <f t="shared" si="56"/>
        <v/>
      </c>
      <c r="AB69" s="25" t="str">
        <f t="shared" si="57"/>
        <v/>
      </c>
      <c r="AD69" s="25" t="str">
        <f t="shared" si="58"/>
        <v/>
      </c>
      <c r="AE69" s="25" t="str">
        <f t="shared" si="59"/>
        <v/>
      </c>
      <c r="AF69" s="25" t="str">
        <f t="shared" si="60"/>
        <v/>
      </c>
      <c r="AG69" s="25" t="str">
        <f t="shared" si="61"/>
        <v/>
      </c>
      <c r="AH69" s="25" t="str">
        <f t="shared" si="62"/>
        <v/>
      </c>
      <c r="AI69" s="25" t="str">
        <f t="shared" si="63"/>
        <v/>
      </c>
      <c r="AJ69" s="25" t="str">
        <f t="shared" si="64"/>
        <v/>
      </c>
      <c r="AK69" s="25" t="str">
        <f t="shared" si="65"/>
        <v/>
      </c>
      <c r="AL69" s="25" t="str">
        <f t="shared" si="66"/>
        <v/>
      </c>
      <c r="AM69" s="25" t="str">
        <f t="shared" si="67"/>
        <v/>
      </c>
      <c r="AN69" s="25" t="str">
        <f t="shared" si="68"/>
        <v/>
      </c>
      <c r="AO69" s="25" t="str">
        <f t="shared" si="69"/>
        <v/>
      </c>
      <c r="AP69" s="25" t="str">
        <f t="shared" si="70"/>
        <v/>
      </c>
      <c r="AQ69" s="25" t="str">
        <f t="shared" si="71"/>
        <v/>
      </c>
      <c r="AR69" s="25" t="str">
        <f t="shared" si="72"/>
        <v/>
      </c>
      <c r="AS69" s="25" t="str">
        <f t="shared" si="73"/>
        <v/>
      </c>
      <c r="AT69" s="25" t="str">
        <f t="shared" si="74"/>
        <v/>
      </c>
      <c r="AU69" s="25" t="str">
        <f t="shared" si="75"/>
        <v/>
      </c>
      <c r="AV69" s="25" t="str">
        <f t="shared" si="76"/>
        <v/>
      </c>
      <c r="AW69" s="25" t="str">
        <f t="shared" si="77"/>
        <v/>
      </c>
      <c r="AX69" s="25" t="str">
        <f t="shared" si="78"/>
        <v/>
      </c>
      <c r="AY69" s="25" t="str">
        <f t="shared" si="79"/>
        <v/>
      </c>
      <c r="AZ69" s="25" t="str">
        <f t="shared" si="80"/>
        <v/>
      </c>
      <c r="BA69" s="25" t="str">
        <f t="shared" si="81"/>
        <v/>
      </c>
      <c r="BB69" s="25" t="str">
        <f t="shared" si="82"/>
        <v/>
      </c>
      <c r="BC69" s="25" t="str">
        <f t="shared" si="83"/>
        <v/>
      </c>
      <c r="BD69" s="25" t="str">
        <f t="shared" si="84"/>
        <v/>
      </c>
      <c r="BE69" s="25" t="str">
        <f t="shared" si="85"/>
        <v/>
      </c>
      <c r="BF69" s="25" t="str">
        <f t="shared" si="86"/>
        <v/>
      </c>
      <c r="BG69" s="25" t="str">
        <f t="shared" si="87"/>
        <v/>
      </c>
      <c r="BH69" s="25" t="str">
        <f t="shared" si="88"/>
        <v/>
      </c>
      <c r="BI69" s="6" t="str">
        <f t="shared" si="89"/>
        <v/>
      </c>
      <c r="BJ69" s="6" t="str">
        <f t="shared" si="90"/>
        <v/>
      </c>
      <c r="BK69" s="6" t="str">
        <f t="shared" si="91"/>
        <v/>
      </c>
      <c r="BL69" s="6" t="str">
        <f t="shared" si="92"/>
        <v/>
      </c>
      <c r="BM69" s="6" t="str">
        <f t="shared" si="93"/>
        <v/>
      </c>
      <c r="BN69" s="6" t="str">
        <f t="shared" si="94"/>
        <v/>
      </c>
      <c r="BO69" s="6" t="str">
        <f t="shared" si="95"/>
        <v/>
      </c>
      <c r="BP69" s="6" t="str">
        <f t="shared" si="96"/>
        <v/>
      </c>
      <c r="BQ69" s="6" t="str">
        <f t="shared" si="97"/>
        <v/>
      </c>
      <c r="BR69" s="6" t="str">
        <f t="shared" si="98"/>
        <v/>
      </c>
      <c r="BS69" s="6" t="str">
        <f t="shared" si="99"/>
        <v/>
      </c>
      <c r="BT69" s="6" t="str">
        <f t="shared" si="100"/>
        <v/>
      </c>
      <c r="BU69" s="6" t="str">
        <f t="shared" si="101"/>
        <v/>
      </c>
      <c r="BV69" s="6" t="str">
        <f t="shared" si="102"/>
        <v/>
      </c>
      <c r="BW69" s="6" t="str">
        <f t="shared" si="103"/>
        <v/>
      </c>
      <c r="BX69" s="6" t="str">
        <f t="shared" si="104"/>
        <v/>
      </c>
    </row>
    <row r="70" spans="3:76" ht="21">
      <c r="C70" s="25">
        <v>60</v>
      </c>
      <c r="D70" s="50"/>
      <c r="E70" s="50"/>
      <c r="F70" s="51" t="s">
        <v>8</v>
      </c>
      <c r="M70" s="25" t="str">
        <f t="shared" si="49"/>
        <v>19</v>
      </c>
      <c r="N70" s="25" t="str">
        <f t="shared" si="50"/>
        <v>11</v>
      </c>
      <c r="O70" s="25" t="str">
        <f t="shared" si="51"/>
        <v>1</v>
      </c>
      <c r="P70" s="25" t="str">
        <f t="shared" si="52"/>
        <v>4</v>
      </c>
      <c r="Q70" s="25" t="str">
        <f t="shared" si="53"/>
        <v>yellow</v>
      </c>
      <c r="R70" s="25" t="str">
        <f t="shared" si="54"/>
        <v>False</v>
      </c>
      <c r="S70" s="25"/>
      <c r="T70" s="25" t="str">
        <f t="shared" si="55"/>
        <v>True</v>
      </c>
      <c r="AA70" s="25" t="str">
        <f t="shared" si="56"/>
        <v/>
      </c>
      <c r="AB70" s="25" t="str">
        <f t="shared" si="57"/>
        <v/>
      </c>
      <c r="AD70" s="25" t="str">
        <f t="shared" si="58"/>
        <v/>
      </c>
      <c r="AE70" s="25" t="str">
        <f t="shared" si="59"/>
        <v/>
      </c>
      <c r="AF70" s="25" t="str">
        <f t="shared" si="60"/>
        <v/>
      </c>
      <c r="AG70" s="25" t="str">
        <f t="shared" si="61"/>
        <v/>
      </c>
      <c r="AH70" s="25" t="str">
        <f t="shared" si="62"/>
        <v/>
      </c>
      <c r="AI70" s="25" t="str">
        <f t="shared" si="63"/>
        <v/>
      </c>
      <c r="AJ70" s="25" t="str">
        <f t="shared" si="64"/>
        <v/>
      </c>
      <c r="AK70" s="25" t="str">
        <f t="shared" si="65"/>
        <v/>
      </c>
      <c r="AL70" s="25" t="str">
        <f t="shared" si="66"/>
        <v/>
      </c>
      <c r="AM70" s="25" t="str">
        <f t="shared" si="67"/>
        <v/>
      </c>
      <c r="AN70" s="25" t="str">
        <f t="shared" si="68"/>
        <v/>
      </c>
      <c r="AO70" s="25" t="str">
        <f t="shared" si="69"/>
        <v/>
      </c>
      <c r="AP70" s="25" t="str">
        <f t="shared" si="70"/>
        <v/>
      </c>
      <c r="AQ70" s="25" t="str">
        <f t="shared" si="71"/>
        <v/>
      </c>
      <c r="AR70" s="25" t="str">
        <f t="shared" si="72"/>
        <v/>
      </c>
      <c r="AS70" s="25" t="str">
        <f t="shared" si="73"/>
        <v/>
      </c>
      <c r="AT70" s="25" t="str">
        <f t="shared" si="74"/>
        <v/>
      </c>
      <c r="AU70" s="25" t="str">
        <f t="shared" si="75"/>
        <v/>
      </c>
      <c r="AV70" s="25" t="str">
        <f t="shared" si="76"/>
        <v/>
      </c>
      <c r="AW70" s="25" t="str">
        <f t="shared" si="77"/>
        <v/>
      </c>
      <c r="AX70" s="25" t="str">
        <f t="shared" si="78"/>
        <v/>
      </c>
      <c r="AY70" s="25" t="str">
        <f t="shared" si="79"/>
        <v/>
      </c>
      <c r="AZ70" s="25" t="str">
        <f t="shared" si="80"/>
        <v/>
      </c>
      <c r="BA70" s="25" t="str">
        <f t="shared" si="81"/>
        <v/>
      </c>
      <c r="BB70" s="25" t="str">
        <f t="shared" si="82"/>
        <v/>
      </c>
      <c r="BC70" s="25" t="str">
        <f t="shared" si="83"/>
        <v/>
      </c>
      <c r="BD70" s="25" t="str">
        <f t="shared" si="84"/>
        <v/>
      </c>
      <c r="BE70" s="25" t="str">
        <f t="shared" si="85"/>
        <v/>
      </c>
      <c r="BF70" s="25" t="str">
        <f t="shared" si="86"/>
        <v/>
      </c>
      <c r="BG70" s="25" t="str">
        <f t="shared" si="87"/>
        <v/>
      </c>
      <c r="BH70" s="25" t="str">
        <f t="shared" si="88"/>
        <v/>
      </c>
      <c r="BI70" s="6" t="str">
        <f t="shared" si="89"/>
        <v/>
      </c>
      <c r="BJ70" s="6" t="str">
        <f t="shared" si="90"/>
        <v/>
      </c>
      <c r="BK70" s="6" t="str">
        <f t="shared" si="91"/>
        <v/>
      </c>
      <c r="BL70" s="6" t="str">
        <f t="shared" si="92"/>
        <v/>
      </c>
      <c r="BM70" s="6" t="str">
        <f t="shared" si="93"/>
        <v/>
      </c>
      <c r="BN70" s="6" t="str">
        <f t="shared" si="94"/>
        <v/>
      </c>
      <c r="BO70" s="6" t="str">
        <f t="shared" si="95"/>
        <v/>
      </c>
      <c r="BP70" s="6" t="str">
        <f t="shared" si="96"/>
        <v/>
      </c>
      <c r="BQ70" s="6" t="str">
        <f t="shared" si="97"/>
        <v/>
      </c>
      <c r="BR70" s="6" t="str">
        <f t="shared" si="98"/>
        <v/>
      </c>
      <c r="BS70" s="6" t="str">
        <f t="shared" si="99"/>
        <v/>
      </c>
      <c r="BT70" s="6" t="str">
        <f t="shared" si="100"/>
        <v/>
      </c>
      <c r="BU70" s="6" t="str">
        <f t="shared" si="101"/>
        <v/>
      </c>
      <c r="BV70" s="6" t="str">
        <f t="shared" si="102"/>
        <v/>
      </c>
      <c r="BW70" s="6" t="str">
        <f t="shared" si="103"/>
        <v/>
      </c>
      <c r="BX70" s="6" t="str">
        <f t="shared" si="104"/>
        <v/>
      </c>
    </row>
    <row r="71" spans="3:76" ht="21">
      <c r="C71" s="25">
        <v>61</v>
      </c>
      <c r="D71" s="50"/>
      <c r="E71" s="50"/>
      <c r="F71" s="51" t="s">
        <v>8</v>
      </c>
      <c r="M71" s="25" t="str">
        <f t="shared" si="49"/>
        <v>19</v>
      </c>
      <c r="N71" s="25" t="str">
        <f t="shared" si="50"/>
        <v>11</v>
      </c>
      <c r="O71" s="25" t="str">
        <f t="shared" si="51"/>
        <v>1</v>
      </c>
      <c r="P71" s="25" t="str">
        <f t="shared" si="52"/>
        <v>4</v>
      </c>
      <c r="Q71" s="25" t="str">
        <f t="shared" si="53"/>
        <v>yellow</v>
      </c>
      <c r="R71" s="25" t="str">
        <f t="shared" si="54"/>
        <v>False</v>
      </c>
      <c r="S71" s="25"/>
      <c r="T71" s="25" t="str">
        <f t="shared" si="55"/>
        <v>True</v>
      </c>
      <c r="AA71" s="25" t="str">
        <f t="shared" si="56"/>
        <v/>
      </c>
      <c r="AB71" s="25" t="str">
        <f t="shared" si="57"/>
        <v/>
      </c>
      <c r="AD71" s="25" t="str">
        <f t="shared" si="58"/>
        <v/>
      </c>
      <c r="AE71" s="25" t="str">
        <f t="shared" si="59"/>
        <v/>
      </c>
      <c r="AF71" s="25" t="str">
        <f t="shared" si="60"/>
        <v/>
      </c>
      <c r="AG71" s="25" t="str">
        <f t="shared" si="61"/>
        <v/>
      </c>
      <c r="AH71" s="25" t="str">
        <f t="shared" si="62"/>
        <v/>
      </c>
      <c r="AI71" s="25" t="str">
        <f t="shared" si="63"/>
        <v/>
      </c>
      <c r="AJ71" s="25" t="str">
        <f t="shared" si="64"/>
        <v/>
      </c>
      <c r="AK71" s="25" t="str">
        <f t="shared" si="65"/>
        <v/>
      </c>
      <c r="AL71" s="25" t="str">
        <f t="shared" si="66"/>
        <v/>
      </c>
      <c r="AM71" s="25" t="str">
        <f t="shared" si="67"/>
        <v/>
      </c>
      <c r="AN71" s="25" t="str">
        <f t="shared" si="68"/>
        <v/>
      </c>
      <c r="AO71" s="25" t="str">
        <f t="shared" si="69"/>
        <v/>
      </c>
      <c r="AP71" s="25" t="str">
        <f t="shared" si="70"/>
        <v/>
      </c>
      <c r="AQ71" s="25" t="str">
        <f t="shared" si="71"/>
        <v/>
      </c>
      <c r="AR71" s="25" t="str">
        <f t="shared" si="72"/>
        <v/>
      </c>
      <c r="AS71" s="25" t="str">
        <f t="shared" si="73"/>
        <v/>
      </c>
      <c r="AT71" s="25" t="str">
        <f t="shared" si="74"/>
        <v/>
      </c>
      <c r="AU71" s="25" t="str">
        <f t="shared" si="75"/>
        <v/>
      </c>
      <c r="AV71" s="25" t="str">
        <f t="shared" si="76"/>
        <v/>
      </c>
      <c r="AW71" s="25" t="str">
        <f t="shared" si="77"/>
        <v/>
      </c>
      <c r="AX71" s="25" t="str">
        <f t="shared" si="78"/>
        <v/>
      </c>
      <c r="AY71" s="25" t="str">
        <f t="shared" si="79"/>
        <v/>
      </c>
      <c r="AZ71" s="25" t="str">
        <f t="shared" si="80"/>
        <v/>
      </c>
      <c r="BA71" s="25" t="str">
        <f t="shared" si="81"/>
        <v/>
      </c>
      <c r="BB71" s="25" t="str">
        <f t="shared" si="82"/>
        <v/>
      </c>
      <c r="BC71" s="25" t="str">
        <f t="shared" si="83"/>
        <v/>
      </c>
      <c r="BD71" s="25" t="str">
        <f t="shared" si="84"/>
        <v/>
      </c>
      <c r="BE71" s="25" t="str">
        <f t="shared" si="85"/>
        <v/>
      </c>
      <c r="BF71" s="25" t="str">
        <f t="shared" si="86"/>
        <v/>
      </c>
      <c r="BG71" s="25" t="str">
        <f t="shared" si="87"/>
        <v/>
      </c>
      <c r="BH71" s="25" t="str">
        <f t="shared" si="88"/>
        <v/>
      </c>
      <c r="BI71" s="6" t="str">
        <f t="shared" si="89"/>
        <v/>
      </c>
      <c r="BJ71" s="6" t="str">
        <f t="shared" si="90"/>
        <v/>
      </c>
      <c r="BK71" s="6" t="str">
        <f t="shared" si="91"/>
        <v/>
      </c>
      <c r="BL71" s="6" t="str">
        <f t="shared" si="92"/>
        <v/>
      </c>
      <c r="BM71" s="6" t="str">
        <f t="shared" si="93"/>
        <v/>
      </c>
      <c r="BN71" s="6" t="str">
        <f t="shared" si="94"/>
        <v/>
      </c>
      <c r="BO71" s="6" t="str">
        <f t="shared" si="95"/>
        <v/>
      </c>
      <c r="BP71" s="6" t="str">
        <f t="shared" si="96"/>
        <v/>
      </c>
      <c r="BQ71" s="6" t="str">
        <f t="shared" si="97"/>
        <v/>
      </c>
      <c r="BR71" s="6" t="str">
        <f t="shared" si="98"/>
        <v/>
      </c>
      <c r="BS71" s="6" t="str">
        <f t="shared" si="99"/>
        <v/>
      </c>
      <c r="BT71" s="6" t="str">
        <f t="shared" si="100"/>
        <v/>
      </c>
      <c r="BU71" s="6" t="str">
        <f t="shared" si="101"/>
        <v/>
      </c>
      <c r="BV71" s="6" t="str">
        <f t="shared" si="102"/>
        <v/>
      </c>
      <c r="BW71" s="6" t="str">
        <f t="shared" si="103"/>
        <v/>
      </c>
      <c r="BX71" s="6" t="str">
        <f t="shared" si="104"/>
        <v/>
      </c>
    </row>
    <row r="72" spans="3:76" ht="21">
      <c r="C72" s="25">
        <v>62</v>
      </c>
      <c r="D72" s="50"/>
      <c r="E72" s="50"/>
      <c r="F72" s="51" t="s">
        <v>8</v>
      </c>
      <c r="M72" s="25" t="str">
        <f t="shared" si="49"/>
        <v>19</v>
      </c>
      <c r="N72" s="25" t="str">
        <f t="shared" si="50"/>
        <v>11</v>
      </c>
      <c r="O72" s="25" t="str">
        <f t="shared" si="51"/>
        <v>1</v>
      </c>
      <c r="P72" s="25" t="str">
        <f t="shared" si="52"/>
        <v>4</v>
      </c>
      <c r="Q72" s="25" t="str">
        <f t="shared" si="53"/>
        <v>yellow</v>
      </c>
      <c r="R72" s="25" t="str">
        <f t="shared" si="54"/>
        <v>False</v>
      </c>
      <c r="S72" s="25"/>
      <c r="T72" s="25" t="str">
        <f t="shared" si="55"/>
        <v>True</v>
      </c>
      <c r="AA72" s="25" t="str">
        <f t="shared" si="56"/>
        <v/>
      </c>
      <c r="AB72" s="25" t="str">
        <f t="shared" si="57"/>
        <v/>
      </c>
      <c r="AD72" s="25" t="str">
        <f t="shared" si="58"/>
        <v/>
      </c>
      <c r="AE72" s="25" t="str">
        <f t="shared" si="59"/>
        <v/>
      </c>
      <c r="AF72" s="25" t="str">
        <f t="shared" si="60"/>
        <v/>
      </c>
      <c r="AG72" s="25" t="str">
        <f t="shared" si="61"/>
        <v/>
      </c>
      <c r="AH72" s="25" t="str">
        <f t="shared" si="62"/>
        <v/>
      </c>
      <c r="AI72" s="25" t="str">
        <f t="shared" si="63"/>
        <v/>
      </c>
      <c r="AJ72" s="25" t="str">
        <f t="shared" si="64"/>
        <v/>
      </c>
      <c r="AK72" s="25" t="str">
        <f t="shared" si="65"/>
        <v/>
      </c>
      <c r="AL72" s="25" t="str">
        <f t="shared" si="66"/>
        <v/>
      </c>
      <c r="AM72" s="25" t="str">
        <f t="shared" si="67"/>
        <v/>
      </c>
      <c r="AN72" s="25" t="str">
        <f t="shared" si="68"/>
        <v/>
      </c>
      <c r="AO72" s="25" t="str">
        <f t="shared" si="69"/>
        <v/>
      </c>
      <c r="AP72" s="25" t="str">
        <f t="shared" si="70"/>
        <v/>
      </c>
      <c r="AQ72" s="25" t="str">
        <f t="shared" si="71"/>
        <v/>
      </c>
      <c r="AR72" s="25" t="str">
        <f t="shared" si="72"/>
        <v/>
      </c>
      <c r="AS72" s="25" t="str">
        <f t="shared" si="73"/>
        <v/>
      </c>
      <c r="AT72" s="25" t="str">
        <f t="shared" si="74"/>
        <v/>
      </c>
      <c r="AU72" s="25" t="str">
        <f t="shared" si="75"/>
        <v/>
      </c>
      <c r="AV72" s="25" t="str">
        <f t="shared" si="76"/>
        <v/>
      </c>
      <c r="AW72" s="25" t="str">
        <f t="shared" si="77"/>
        <v/>
      </c>
      <c r="AX72" s="25" t="str">
        <f t="shared" si="78"/>
        <v/>
      </c>
      <c r="AY72" s="25" t="str">
        <f t="shared" si="79"/>
        <v/>
      </c>
      <c r="AZ72" s="25" t="str">
        <f t="shared" si="80"/>
        <v/>
      </c>
      <c r="BA72" s="25" t="str">
        <f t="shared" si="81"/>
        <v/>
      </c>
      <c r="BB72" s="25" t="str">
        <f t="shared" si="82"/>
        <v/>
      </c>
      <c r="BC72" s="25" t="str">
        <f t="shared" si="83"/>
        <v/>
      </c>
      <c r="BD72" s="25" t="str">
        <f t="shared" si="84"/>
        <v/>
      </c>
      <c r="BE72" s="25" t="str">
        <f t="shared" si="85"/>
        <v/>
      </c>
      <c r="BF72" s="25" t="str">
        <f t="shared" si="86"/>
        <v/>
      </c>
      <c r="BG72" s="25" t="str">
        <f t="shared" si="87"/>
        <v/>
      </c>
      <c r="BH72" s="25" t="str">
        <f t="shared" si="88"/>
        <v/>
      </c>
      <c r="BI72" s="6" t="str">
        <f t="shared" si="89"/>
        <v/>
      </c>
      <c r="BJ72" s="6" t="str">
        <f t="shared" si="90"/>
        <v/>
      </c>
      <c r="BK72" s="6" t="str">
        <f t="shared" si="91"/>
        <v/>
      </c>
      <c r="BL72" s="6" t="str">
        <f t="shared" si="92"/>
        <v/>
      </c>
      <c r="BM72" s="6" t="str">
        <f t="shared" si="93"/>
        <v/>
      </c>
      <c r="BN72" s="6" t="str">
        <f t="shared" si="94"/>
        <v/>
      </c>
      <c r="BO72" s="6" t="str">
        <f t="shared" si="95"/>
        <v/>
      </c>
      <c r="BP72" s="6" t="str">
        <f t="shared" si="96"/>
        <v/>
      </c>
      <c r="BQ72" s="6" t="str">
        <f t="shared" si="97"/>
        <v/>
      </c>
      <c r="BR72" s="6" t="str">
        <f t="shared" si="98"/>
        <v/>
      </c>
      <c r="BS72" s="6" t="str">
        <f t="shared" si="99"/>
        <v/>
      </c>
      <c r="BT72" s="6" t="str">
        <f t="shared" si="100"/>
        <v/>
      </c>
      <c r="BU72" s="6" t="str">
        <f t="shared" si="101"/>
        <v/>
      </c>
      <c r="BV72" s="6" t="str">
        <f t="shared" si="102"/>
        <v/>
      </c>
      <c r="BW72" s="6" t="str">
        <f t="shared" si="103"/>
        <v/>
      </c>
      <c r="BX72" s="6" t="str">
        <f t="shared" si="104"/>
        <v/>
      </c>
    </row>
    <row r="73" spans="3:76" ht="21">
      <c r="C73" s="25">
        <v>63</v>
      </c>
      <c r="D73" s="50"/>
      <c r="E73" s="50"/>
      <c r="F73" s="51" t="s">
        <v>8</v>
      </c>
      <c r="M73" s="25" t="str">
        <f t="shared" si="49"/>
        <v>19</v>
      </c>
      <c r="N73" s="25" t="str">
        <f t="shared" si="50"/>
        <v>11</v>
      </c>
      <c r="O73" s="25" t="str">
        <f t="shared" si="51"/>
        <v>1</v>
      </c>
      <c r="P73" s="25" t="str">
        <f t="shared" si="52"/>
        <v>4</v>
      </c>
      <c r="Q73" s="25" t="str">
        <f t="shared" si="53"/>
        <v>yellow</v>
      </c>
      <c r="R73" s="25" t="str">
        <f t="shared" si="54"/>
        <v>False</v>
      </c>
      <c r="S73" s="25"/>
      <c r="T73" s="25" t="str">
        <f t="shared" si="55"/>
        <v>True</v>
      </c>
      <c r="AA73" s="25" t="str">
        <f t="shared" si="56"/>
        <v/>
      </c>
      <c r="AB73" s="25" t="str">
        <f t="shared" si="57"/>
        <v/>
      </c>
      <c r="AD73" s="25" t="str">
        <f t="shared" si="58"/>
        <v/>
      </c>
      <c r="AE73" s="25" t="str">
        <f t="shared" si="59"/>
        <v/>
      </c>
      <c r="AF73" s="25" t="str">
        <f t="shared" si="60"/>
        <v/>
      </c>
      <c r="AG73" s="25" t="str">
        <f t="shared" si="61"/>
        <v/>
      </c>
      <c r="AH73" s="25" t="str">
        <f t="shared" si="62"/>
        <v/>
      </c>
      <c r="AI73" s="25" t="str">
        <f t="shared" si="63"/>
        <v/>
      </c>
      <c r="AJ73" s="25" t="str">
        <f t="shared" si="64"/>
        <v/>
      </c>
      <c r="AK73" s="25" t="str">
        <f t="shared" si="65"/>
        <v/>
      </c>
      <c r="AL73" s="25" t="str">
        <f t="shared" si="66"/>
        <v/>
      </c>
      <c r="AM73" s="25" t="str">
        <f t="shared" si="67"/>
        <v/>
      </c>
      <c r="AN73" s="25" t="str">
        <f t="shared" si="68"/>
        <v/>
      </c>
      <c r="AO73" s="25" t="str">
        <f t="shared" si="69"/>
        <v/>
      </c>
      <c r="AP73" s="25" t="str">
        <f t="shared" si="70"/>
        <v/>
      </c>
      <c r="AQ73" s="25" t="str">
        <f t="shared" si="71"/>
        <v/>
      </c>
      <c r="AR73" s="25" t="str">
        <f t="shared" si="72"/>
        <v/>
      </c>
      <c r="AS73" s="25" t="str">
        <f t="shared" si="73"/>
        <v/>
      </c>
      <c r="AT73" s="25" t="str">
        <f t="shared" si="74"/>
        <v/>
      </c>
      <c r="AU73" s="25" t="str">
        <f t="shared" si="75"/>
        <v/>
      </c>
      <c r="AV73" s="25" t="str">
        <f t="shared" si="76"/>
        <v/>
      </c>
      <c r="AW73" s="25" t="str">
        <f t="shared" si="77"/>
        <v/>
      </c>
      <c r="AX73" s="25" t="str">
        <f t="shared" si="78"/>
        <v/>
      </c>
      <c r="AY73" s="25" t="str">
        <f t="shared" si="79"/>
        <v/>
      </c>
      <c r="AZ73" s="25" t="str">
        <f t="shared" si="80"/>
        <v/>
      </c>
      <c r="BA73" s="25" t="str">
        <f t="shared" si="81"/>
        <v/>
      </c>
      <c r="BB73" s="25" t="str">
        <f t="shared" si="82"/>
        <v/>
      </c>
      <c r="BC73" s="25" t="str">
        <f t="shared" si="83"/>
        <v/>
      </c>
      <c r="BD73" s="25" t="str">
        <f t="shared" si="84"/>
        <v/>
      </c>
      <c r="BE73" s="25" t="str">
        <f t="shared" si="85"/>
        <v/>
      </c>
      <c r="BF73" s="25" t="str">
        <f t="shared" si="86"/>
        <v/>
      </c>
      <c r="BG73" s="25" t="str">
        <f t="shared" si="87"/>
        <v/>
      </c>
      <c r="BH73" s="25" t="str">
        <f t="shared" si="88"/>
        <v/>
      </c>
      <c r="BI73" s="6" t="str">
        <f t="shared" si="89"/>
        <v/>
      </c>
      <c r="BJ73" s="6" t="str">
        <f t="shared" si="90"/>
        <v/>
      </c>
      <c r="BK73" s="6" t="str">
        <f t="shared" si="91"/>
        <v/>
      </c>
      <c r="BL73" s="6" t="str">
        <f t="shared" si="92"/>
        <v/>
      </c>
      <c r="BM73" s="6" t="str">
        <f t="shared" si="93"/>
        <v/>
      </c>
      <c r="BN73" s="6" t="str">
        <f t="shared" si="94"/>
        <v/>
      </c>
      <c r="BO73" s="6" t="str">
        <f t="shared" si="95"/>
        <v/>
      </c>
      <c r="BP73" s="6" t="str">
        <f t="shared" si="96"/>
        <v/>
      </c>
      <c r="BQ73" s="6" t="str">
        <f t="shared" si="97"/>
        <v/>
      </c>
      <c r="BR73" s="6" t="str">
        <f t="shared" si="98"/>
        <v/>
      </c>
      <c r="BS73" s="6" t="str">
        <f t="shared" si="99"/>
        <v/>
      </c>
      <c r="BT73" s="6" t="str">
        <f t="shared" si="100"/>
        <v/>
      </c>
      <c r="BU73" s="6" t="str">
        <f t="shared" si="101"/>
        <v/>
      </c>
      <c r="BV73" s="6" t="str">
        <f t="shared" si="102"/>
        <v/>
      </c>
      <c r="BW73" s="6" t="str">
        <f t="shared" si="103"/>
        <v/>
      </c>
      <c r="BX73" s="6" t="str">
        <f t="shared" si="104"/>
        <v/>
      </c>
    </row>
    <row r="74" spans="3:76" ht="21">
      <c r="C74" s="25">
        <v>64</v>
      </c>
      <c r="D74" s="50"/>
      <c r="E74" s="50"/>
      <c r="F74" s="51" t="s">
        <v>8</v>
      </c>
      <c r="M74" s="25" t="str">
        <f t="shared" si="49"/>
        <v>19</v>
      </c>
      <c r="N74" s="25" t="str">
        <f t="shared" si="50"/>
        <v>11</v>
      </c>
      <c r="O74" s="25" t="str">
        <f t="shared" si="51"/>
        <v>1</v>
      </c>
      <c r="P74" s="25" t="str">
        <f t="shared" si="52"/>
        <v>4</v>
      </c>
      <c r="Q74" s="25" t="str">
        <f t="shared" si="53"/>
        <v>yellow</v>
      </c>
      <c r="R74" s="25" t="str">
        <f t="shared" si="54"/>
        <v>False</v>
      </c>
      <c r="S74" s="25"/>
      <c r="T74" s="25" t="str">
        <f t="shared" si="55"/>
        <v>True</v>
      </c>
      <c r="AA74" s="25" t="str">
        <f t="shared" si="56"/>
        <v/>
      </c>
      <c r="AB74" s="25" t="str">
        <f t="shared" si="57"/>
        <v/>
      </c>
      <c r="AD74" s="25" t="str">
        <f t="shared" si="58"/>
        <v/>
      </c>
      <c r="AE74" s="25" t="str">
        <f t="shared" si="59"/>
        <v/>
      </c>
      <c r="AF74" s="25" t="str">
        <f t="shared" si="60"/>
        <v/>
      </c>
      <c r="AG74" s="25" t="str">
        <f t="shared" si="61"/>
        <v/>
      </c>
      <c r="AH74" s="25" t="str">
        <f t="shared" si="62"/>
        <v/>
      </c>
      <c r="AI74" s="25" t="str">
        <f t="shared" si="63"/>
        <v/>
      </c>
      <c r="AJ74" s="25" t="str">
        <f t="shared" si="64"/>
        <v/>
      </c>
      <c r="AK74" s="25" t="str">
        <f t="shared" si="65"/>
        <v/>
      </c>
      <c r="AL74" s="25" t="str">
        <f t="shared" si="66"/>
        <v/>
      </c>
      <c r="AM74" s="25" t="str">
        <f t="shared" si="67"/>
        <v/>
      </c>
      <c r="AN74" s="25" t="str">
        <f t="shared" si="68"/>
        <v/>
      </c>
      <c r="AO74" s="25" t="str">
        <f t="shared" si="69"/>
        <v/>
      </c>
      <c r="AP74" s="25" t="str">
        <f t="shared" si="70"/>
        <v/>
      </c>
      <c r="AQ74" s="25" t="str">
        <f t="shared" si="71"/>
        <v/>
      </c>
      <c r="AR74" s="25" t="str">
        <f t="shared" si="72"/>
        <v/>
      </c>
      <c r="AS74" s="25" t="str">
        <f t="shared" si="73"/>
        <v/>
      </c>
      <c r="AT74" s="25" t="str">
        <f t="shared" si="74"/>
        <v/>
      </c>
      <c r="AU74" s="25" t="str">
        <f t="shared" si="75"/>
        <v/>
      </c>
      <c r="AV74" s="25" t="str">
        <f t="shared" si="76"/>
        <v/>
      </c>
      <c r="AW74" s="25" t="str">
        <f t="shared" si="77"/>
        <v/>
      </c>
      <c r="AX74" s="25" t="str">
        <f t="shared" si="78"/>
        <v/>
      </c>
      <c r="AY74" s="25" t="str">
        <f t="shared" si="79"/>
        <v/>
      </c>
      <c r="AZ74" s="25" t="str">
        <f t="shared" si="80"/>
        <v/>
      </c>
      <c r="BA74" s="25" t="str">
        <f t="shared" si="81"/>
        <v/>
      </c>
      <c r="BB74" s="25" t="str">
        <f t="shared" si="82"/>
        <v/>
      </c>
      <c r="BC74" s="25" t="str">
        <f t="shared" si="83"/>
        <v/>
      </c>
      <c r="BD74" s="25" t="str">
        <f t="shared" si="84"/>
        <v/>
      </c>
      <c r="BE74" s="25" t="str">
        <f t="shared" si="85"/>
        <v/>
      </c>
      <c r="BF74" s="25" t="str">
        <f t="shared" si="86"/>
        <v/>
      </c>
      <c r="BG74" s="25" t="str">
        <f t="shared" si="87"/>
        <v/>
      </c>
      <c r="BH74" s="25" t="str">
        <f t="shared" si="88"/>
        <v/>
      </c>
      <c r="BI74" s="6" t="str">
        <f t="shared" si="89"/>
        <v/>
      </c>
      <c r="BJ74" s="6" t="str">
        <f t="shared" si="90"/>
        <v/>
      </c>
      <c r="BK74" s="6" t="str">
        <f t="shared" si="91"/>
        <v/>
      </c>
      <c r="BL74" s="6" t="str">
        <f t="shared" si="92"/>
        <v/>
      </c>
      <c r="BM74" s="6" t="str">
        <f t="shared" si="93"/>
        <v/>
      </c>
      <c r="BN74" s="6" t="str">
        <f t="shared" si="94"/>
        <v/>
      </c>
      <c r="BO74" s="6" t="str">
        <f t="shared" si="95"/>
        <v/>
      </c>
      <c r="BP74" s="6" t="str">
        <f t="shared" si="96"/>
        <v/>
      </c>
      <c r="BQ74" s="6" t="str">
        <f t="shared" si="97"/>
        <v/>
      </c>
      <c r="BR74" s="6" t="str">
        <f t="shared" si="98"/>
        <v/>
      </c>
      <c r="BS74" s="6" t="str">
        <f t="shared" si="99"/>
        <v/>
      </c>
      <c r="BT74" s="6" t="str">
        <f t="shared" si="100"/>
        <v/>
      </c>
      <c r="BU74" s="6" t="str">
        <f t="shared" si="101"/>
        <v/>
      </c>
      <c r="BV74" s="6" t="str">
        <f t="shared" si="102"/>
        <v/>
      </c>
      <c r="BW74" s="6" t="str">
        <f t="shared" si="103"/>
        <v/>
      </c>
      <c r="BX74" s="6" t="str">
        <f t="shared" si="104"/>
        <v/>
      </c>
    </row>
    <row r="75" spans="3:76" ht="21">
      <c r="C75" s="25">
        <v>65</v>
      </c>
      <c r="D75" s="50"/>
      <c r="E75" s="50"/>
      <c r="F75" s="51" t="s">
        <v>8</v>
      </c>
      <c r="M75" s="25" t="str">
        <f t="shared" si="49"/>
        <v>19</v>
      </c>
      <c r="N75" s="25" t="str">
        <f t="shared" si="50"/>
        <v>11</v>
      </c>
      <c r="O75" s="25" t="str">
        <f t="shared" si="51"/>
        <v>1</v>
      </c>
      <c r="P75" s="25" t="str">
        <f t="shared" si="52"/>
        <v>4</v>
      </c>
      <c r="Q75" s="25" t="str">
        <f t="shared" si="53"/>
        <v>yellow</v>
      </c>
      <c r="R75" s="25" t="str">
        <f t="shared" si="54"/>
        <v>False</v>
      </c>
      <c r="S75" s="25"/>
      <c r="T75" s="25" t="str">
        <f t="shared" si="55"/>
        <v>True</v>
      </c>
      <c r="AA75" s="25" t="str">
        <f t="shared" ref="AA75:AA100" si="105">IF(E75&lt;&gt;"","INSERT INTO DC_OnlineDevices ([Description], [MAC_ID], [Device Type], [Location Code])","")</f>
        <v/>
      </c>
      <c r="AB75" s="25" t="str">
        <f t="shared" ref="AB75:AB100" si="106">IF(E75&lt;&gt;"","VALUES ('"&amp;D75&amp;"', '"&amp;E75&amp;"', '100', '"&amp;$D$6&amp;"');","")</f>
        <v/>
      </c>
      <c r="AD75" s="25" t="str">
        <f t="shared" ref="AD75:AD100" si="107">IF(E75&lt;&gt;"","SET @TagID = SCOPE_IDENTITY();","")</f>
        <v/>
      </c>
      <c r="AE75" s="25" t="str">
        <f t="shared" ref="AE75:AE100" si="108">IF(E75&lt;&gt;"","INSERT INTO DC_ArcadeGameDef  ([Tag], [Cash Play Price], [Game Group ID], [Game Sub Group ID], [Asset Tag], [Allow Time Play], [TimeBetweenPlays], [ConsecutivePlays], [PulsePauseWidth], [Device_Interface], [TicketPulseWidth], ","")</f>
        <v/>
      </c>
      <c r="AF75" s="25" t="str">
        <f t="shared" ref="AF75:AF100" si="109">IF(E75&lt;&gt;"","[ElecronitcTickets], [ActiveButtonCount], [Button1_Value], [Button2_Value], [Button3_Value], [Button1_Pulses], [Button2_Pulses], [Button3_Pulses], [Model], [eclipse_HappyHour], [eclipse_BaseColor], [GlowOption], [CoinPerPulse], ","")</f>
        <v/>
      </c>
      <c r="AG75" s="25" t="str">
        <f t="shared" ref="AG75:AG100" si="110">IF(E75&lt;&gt;"","[HopperTimeOut], [CreditCardEnable], [MercyPoints], [SupplementalBackgrounds])","")</f>
        <v/>
      </c>
      <c r="AH75" s="25" t="str">
        <f t="shared" ref="AH75:AH100" si="111">IF(E75&lt;&gt;"","VALUES (@TagID, '2.0000', '"&amp;M75&amp;"', '"&amp;N75&amp;"', @TagID, '"&amp;R75&amp;"', '10', '3', '100', '"&amp;O75&amp;"', '3', '"&amp;T75&amp;"', '0', '0.0000', '0.0000', '0.0000', '0', '0', '0', '3', '-1', '"&amp;P75&amp;"', 'True', '1', '100', '"&amp;$S$11&amp;"', '0', 'False');","")</f>
        <v/>
      </c>
      <c r="AI75" s="25" t="str">
        <f t="shared" ref="AI75:AI100" si="112">IF(E75&lt;&gt;"","INSERT INTO DC_ArcadeReaderImages ([Tag], [ID], [Background], [Foreground], [DisplaySettings])","")</f>
        <v/>
      </c>
      <c r="AJ75" s="25" t="str">
        <f t="shared" ref="AJ75:AJ100" si="113">IF(E75&lt;&gt;"","VALUES (@TagID, '0', '-1', '-1', '1')","")</f>
        <v/>
      </c>
      <c r="AK75" s="25" t="str">
        <f t="shared" ref="AK75:AK100" si="114">IF(E75&lt;&gt;"","INSERT INTO DC_ArcadeReaderImages ([Tag], [ID], [Background], [Foreground], [DisplaySettings])","")</f>
        <v/>
      </c>
      <c r="AL75" s="25" t="str">
        <f t="shared" ref="AL75:AL100" si="115">IF(E75&lt;&gt;"","VALUES (@TagID, '1', '-1', '-1', '1')","")</f>
        <v/>
      </c>
      <c r="AM75" s="25" t="str">
        <f t="shared" ref="AM75:AM100" si="116">IF(E75&lt;&gt;"","INSERT INTO DC_ArcadeReaderImages ([Tag], [ID], [Background], [Foreground], [DisplaySettings])","")</f>
        <v/>
      </c>
      <c r="AN75" s="25" t="str">
        <f t="shared" ref="AN75:AN100" si="117">IF(E75&lt;&gt;"","VALUES (@TagID, '2', '-1', '-1', '1')","")</f>
        <v/>
      </c>
      <c r="AO75" s="25" t="str">
        <f t="shared" ref="AO75:AO100" si="118">IF(E75&lt;&gt;"","INSERT INTO DC_ArcadeReaderImages ([Tag], [ID], [Background], [Foreground], [DisplaySettings])","")</f>
        <v/>
      </c>
      <c r="AP75" s="25" t="str">
        <f t="shared" ref="AP75:AP100" si="119">IF(E75&lt;&gt;"","VALUES (@TagID, '3', '-1', '-1', '1')","")</f>
        <v/>
      </c>
      <c r="AQ75" s="25" t="str">
        <f t="shared" ref="AQ75:AQ100" si="120">IF(E75&lt;&gt;"","INSERT INTO DC_ArcadeReaderImages ([Tag], [ID], [Background], [Foreground], [DisplaySettings])","")</f>
        <v/>
      </c>
      <c r="AR75" s="25" t="str">
        <f t="shared" ref="AR75:AR100" si="121">IF(E75&lt;&gt;"","VALUES (@TagID, '4', '-1', '-1', '1')","")</f>
        <v/>
      </c>
      <c r="AS75" s="25" t="str">
        <f t="shared" ref="AS75:AS100" si="122">IF(E75&lt;&gt;"","INSERT INTO DC_ReaderDisplayProperties ([Tag],[Text],[X],[Y],[FontColor],[DisplayID],[ObjectID],[FontSize],[Width],[Height],[BackColor])","")</f>
        <v/>
      </c>
      <c r="AT75" s="25" t="str">
        <f t="shared" ref="AT75:AT100" si="123">IF(E75&lt;&gt;"","VALUES (@TagID, 'Play', '5', '3', '-16777216', '0', '0', '0', '-1', '-1', '0')","")</f>
        <v/>
      </c>
      <c r="AU75" s="25" t="str">
        <f t="shared" ref="AU75:AU100" si="124">IF(E75&lt;&gt;"","INSERT INTO DC_ReaderDisplayProperties ([Tag],[Text],[X],[Y],[FontColor],[DisplayID],[ObjectID],[FontSize],[Width],[Height],[BackColor])","")</f>
        <v/>
      </c>
      <c r="AV75" s="25" t="str">
        <f t="shared" ref="AV75:AV100" si="125">IF(E75&lt;&gt;"","VALUES (@TagID, '$0.00', '5', '104', '-16777216', '0', '1', '0', '-1', '-1', '0')","")</f>
        <v/>
      </c>
      <c r="AW75" s="25" t="str">
        <f t="shared" ref="AW75:AW100" si="126">IF(E75&lt;&gt;"","INSERT INTO DC_ReaderDisplayProperties ([Tag],[Text],[X],[Y],[FontColor],[DisplayID],[ObjectID],[FontSize],[Width],[Height],[BackColor])","")</f>
        <v/>
      </c>
      <c r="AX75" s="25" t="str">
        <f t="shared" ref="AX75:AX100" si="127">IF(E75&lt;&gt;"","VALUES (@TagID, 'Token', '208', '16', '-16777216', '0', '16', '0', '-1', '-1', '0')","")</f>
        <v/>
      </c>
      <c r="AY75" s="25" t="str">
        <f t="shared" ref="AY75:AY100" si="128">IF(E75&lt;&gt;"","INSERT INTO DC_ReaderDisplayProperties ([Tag],[Text],[X],[Y],[FontColor],[DisplayID],[ObjectID],[FontSize],[Width],[Height],[BackColor])","")</f>
        <v/>
      </c>
      <c r="AZ75" s="25" t="str">
        <f t="shared" ref="AZ75:AZ100" si="129">IF(E75&lt;&gt;"","VALUES (@TagID, '000000', '232', '56', '-16777216', '0', '17', '0', '-1', '-1', '0')","")</f>
        <v/>
      </c>
      <c r="BA75" s="25" t="str">
        <f t="shared" ref="BA75:BA100" si="130">IF(E75&lt;&gt;"","INSERT INTO DC_ReaderDisplayProperties ([Tag],[Text],[X],[Y],[FontColor],[DisplayID],[ObjectID],[FontSize],[Width],[Height],[BackColor])","")</f>
        <v/>
      </c>
      <c r="BB75" s="25" t="str">
        <f t="shared" ref="BB75:BB100" si="131">IF(E75&lt;&gt;"","VALUES (@TagID, 'Status Message', '8', '200', '-16777216', '0', '18', '0', '-1', '-1', '0')","")</f>
        <v/>
      </c>
      <c r="BC75" s="25" t="str">
        <f t="shared" ref="BC75:BC100" si="132">IF(E75&lt;&gt;"","INSERT INTO DC_ReaderDisplayProperties ([Tag],[Text],[X],[Y],[FontColor],[DisplayID],[ObjectID],[FontSize],[Width],[Height],[BackColor])","")</f>
        <v/>
      </c>
      <c r="BD75" s="25" t="str">
        <f t="shared" ref="BD75:BD100" si="133">IF(E75&lt;&gt;"","VALUES (@TagID, 'Josh Colby, Vibranium Member', '5', '3', '-16777216', '1', '2', '0', '-1', '-1', '0')","")</f>
        <v/>
      </c>
      <c r="BE75" s="25" t="str">
        <f t="shared" ref="BE75:BE100" si="134">IF(E75&lt;&gt;"","INSERT INTO DC_ReaderDisplayProperties ([Tag],[Text],[X],[Y],[FontColor],[DisplayID],[ObjectID],[FontSize],[Width],[Height],[BackColor])","")</f>
        <v/>
      </c>
      <c r="BF75" s="25" t="str">
        <f t="shared" ref="BF75:BF100" si="135">IF(E75&lt;&gt;"","VALUES (@TagID, 'Image', '28', '66', '-16777216', '1', '3', '0', '-1', '-1', '0')","")</f>
        <v/>
      </c>
      <c r="BG75" s="25" t="str">
        <f t="shared" ref="BG75:BG100" si="136">IF(E75&lt;&gt;"","INSERT INTO DC_ReaderDisplayProperties ([Tag],[Text],[X],[Y],[FontColor],[DisplayID],[ObjectID],[FontSize],[Width],[Height],[BackColor])","")</f>
        <v/>
      </c>
      <c r="BH75" s="25" t="str">
        <f t="shared" ref="BH75:BH100" si="137">IF(E75&lt;&gt;"","VALUES (@TagID, 'New Balance', '184', '76', '-16777216', '1', '4', '0', '-1', '-1', '0')","")</f>
        <v/>
      </c>
      <c r="BI75" s="6" t="str">
        <f t="shared" ref="BI75:BI100" si="138">IF(E75&lt;&gt;"","INSERT INTO DC_ReaderDisplayProperties ([Tag],[Text],[X],[Y],[FontColor],[DisplayID],[ObjectID],[FontSize],[Width],[Height],[BackColor])","")</f>
        <v/>
      </c>
      <c r="BJ75" s="6" t="str">
        <f t="shared" ref="BJ75:BJ100" si="139">IF(E75&lt;&gt;"","VALUES (@TagID, '$9999.00', '214', '134', '-16777216', '1', '5', '0', '-1', '-1', '0')","")</f>
        <v/>
      </c>
      <c r="BK75" s="6" t="str">
        <f t="shared" ref="BK75:BK100" si="140">IF(E75&lt;&gt;"","INSERT INTO DC_ReaderDisplayProperties ([Tag],[Text],[X],[Y],[FontColor],[DisplayID],[ObjectID],[FontSize],[Width],[Height],[BackColor])","")</f>
        <v/>
      </c>
      <c r="BL75" s="6" t="str">
        <f t="shared" ref="BL75:BL100" si="141">IF(E75&lt;&gt;"","VALUES (@TagID, 'Status Message', '16', '200', '-16777216', '1', '19', '0', '-1', '-1', '0')","")</f>
        <v/>
      </c>
      <c r="BM75" s="6" t="str">
        <f t="shared" ref="BM75:BM100" si="142">IF(E75&lt;&gt;"","INSERT INTO DC_ReaderDisplayProperties ([Tag],[Text],[X],[Y],[FontColor],[DisplayID],[ObjectID],[FontSize],[Width],[Height],[BackColor])","")</f>
        <v/>
      </c>
      <c r="BN75" s="6" t="str">
        <f t="shared" ref="BN75:BN100" si="143">IF(E75&lt;&gt;"","VALUES (@TagID, 'Happy Hour', '24', '16', '-16777216', '2', '6', '0', '-1', '-1', '0')","")</f>
        <v/>
      </c>
      <c r="BO75" s="6" t="str">
        <f t="shared" ref="BO75:BO100" si="144">IF(E75&lt;&gt;"","INSERT INTO DC_ReaderDisplayProperties ([Tag],[Text],[X],[Y],[FontColor],[DisplayID],[ObjectID],[FontSize],[Width],[Height],[BackColor])","")</f>
        <v/>
      </c>
      <c r="BP75" s="6" t="str">
        <f t="shared" ref="BP75:BP100" si="145">IF(E75&lt;&gt;"","VALUES (@TagID, '$99.99', '200', '80', '-16777216', '2', '8', '0', '-1', '-1', '0')","")</f>
        <v/>
      </c>
      <c r="BQ75" s="6" t="str">
        <f t="shared" ref="BQ75:BQ100" si="146">IF(E75&lt;&gt;"","INSERT INTO DC_ReaderDisplayProperties ([Tag],[Text],[X],[Y],[FontColor],[DisplayID],[ObjectID],[FontSize],[Width],[Height],[BackColor])","")</f>
        <v/>
      </c>
      <c r="BR75" s="6" t="str">
        <f t="shared" ref="BR75:BR100" si="147">IF(E75&lt;&gt;"","VALUES (@TagID, 'Status Message', '16', '200', '-16777216', '2', '20', '0', '-1', '-1', '0')","")</f>
        <v/>
      </c>
      <c r="BS75" s="6" t="str">
        <f t="shared" ref="BS75:BS100" si="148">IF(E75&lt;&gt;"","INSERT INTO DC_ReaderDisplayProperties ([Tag],[Text],[X],[Y],[FontColor],[DisplayID],[ObjectID],[FontSize],[Width],[Height],[BackColor])","")</f>
        <v/>
      </c>
      <c r="BT75" s="6" t="str">
        <f t="shared" ref="BT75:BT100" si="149">IF(E75&lt;&gt;"","VALUES (@TagID, '0000', '160', '152', '-16777216', '2', '21', '0', '-1', '-1', '0')","")</f>
        <v/>
      </c>
      <c r="BU75" s="6" t="str">
        <f t="shared" ref="BU75:BU100" si="150">IF(E75&lt;&gt;"","INSERT INTO DC_ReaderDisplayProperties ([Tag],[Text],[X],[Y],[FontColor],[DisplayID],[ObjectID],[FontSize],[Width],[Height],[BackColor])","")</f>
        <v/>
      </c>
      <c r="BV75" s="6" t="str">
        <f t="shared" ref="BV75:BV100" si="151">IF(E75&lt;&gt;"","VALUES (@TagID, 'Token', '24', '152', '-16777216', '2', '22', '0', '-1', '-1', '0')","")</f>
        <v/>
      </c>
      <c r="BW75" s="6" t="str">
        <f t="shared" ref="BW75:BW100" si="152">IF(E75&lt;&gt;"","INSERT INTO DC_ReaderDisplayProperties ([Tag],[Text],[X],[Y],[FontColor],[DisplayID],[ObjectID],[FontSize],[Width],[Height],[BackColor])","")</f>
        <v/>
      </c>
      <c r="BX75" s="6" t="str">
        <f t="shared" ref="BX75:BX100" si="153">IF(E75&lt;&gt;"","VALUES (@TagID, '000000', '54', '78', '-16777216', '3', '13', '2', '-1', '-1', '0')","")</f>
        <v/>
      </c>
    </row>
    <row r="76" spans="3:76" ht="21">
      <c r="C76" s="25">
        <v>66</v>
      </c>
      <c r="D76" s="50"/>
      <c r="E76" s="50"/>
      <c r="F76" s="51" t="s">
        <v>8</v>
      </c>
      <c r="M76" s="25" t="str">
        <f t="shared" ref="M76:M100" si="154">IF(F76="r","19",IF(F76="v","18",IF(F76="c","20",IF(F76="m","21","19"))))</f>
        <v>19</v>
      </c>
      <c r="N76" s="25" t="str">
        <f t="shared" ref="N76:N100" si="155">IF(F76="r","11",IF(F76="v","10",IF(F76="c","12",IF(F76="m","13","11"))))</f>
        <v>11</v>
      </c>
      <c r="O76" s="25" t="str">
        <f t="shared" ref="O76:O100" si="156">IF(F76="r","1",IF(F76="v","0",IF(F76="c","2",IF(F76="m","102","1"))))</f>
        <v>1</v>
      </c>
      <c r="P76" s="25" t="str">
        <f t="shared" ref="P76:P100" si="157">IF(Q76="blue","2",IF(Q76="cycle","-1",IF(Q76="red","0",IF(Q76="green","1",IF(Q76="magenta","3",IF(Q76="yellow","4",IF(Q76="cyan","5",IF(Q76="white","6","-1"))))))))</f>
        <v>4</v>
      </c>
      <c r="Q76" s="25" t="str">
        <f t="shared" ref="Q76:Q100" si="158">IF(AND(F76="v",$J$7="yes"),$J$8,$J$5)</f>
        <v>yellow</v>
      </c>
      <c r="R76" s="25" t="str">
        <f t="shared" ref="R76:R100" si="159">IF(AND(F76="v",$J$7="yes"),"True","False")</f>
        <v>False</v>
      </c>
      <c r="S76" s="25"/>
      <c r="T76" s="25" t="str">
        <f t="shared" ref="T76:T100" si="160">IF(F76="r","True","False")</f>
        <v>True</v>
      </c>
      <c r="AA76" s="25" t="str">
        <f t="shared" si="105"/>
        <v/>
      </c>
      <c r="AB76" s="25" t="str">
        <f t="shared" si="106"/>
        <v/>
      </c>
      <c r="AD76" s="25" t="str">
        <f t="shared" si="107"/>
        <v/>
      </c>
      <c r="AE76" s="25" t="str">
        <f t="shared" si="108"/>
        <v/>
      </c>
      <c r="AF76" s="25" t="str">
        <f t="shared" si="109"/>
        <v/>
      </c>
      <c r="AG76" s="25" t="str">
        <f t="shared" si="110"/>
        <v/>
      </c>
      <c r="AH76" s="25" t="str">
        <f t="shared" si="111"/>
        <v/>
      </c>
      <c r="AI76" s="25" t="str">
        <f t="shared" si="112"/>
        <v/>
      </c>
      <c r="AJ76" s="25" t="str">
        <f t="shared" si="113"/>
        <v/>
      </c>
      <c r="AK76" s="25" t="str">
        <f t="shared" si="114"/>
        <v/>
      </c>
      <c r="AL76" s="25" t="str">
        <f t="shared" si="115"/>
        <v/>
      </c>
      <c r="AM76" s="25" t="str">
        <f t="shared" si="116"/>
        <v/>
      </c>
      <c r="AN76" s="25" t="str">
        <f t="shared" si="117"/>
        <v/>
      </c>
      <c r="AO76" s="25" t="str">
        <f t="shared" si="118"/>
        <v/>
      </c>
      <c r="AP76" s="25" t="str">
        <f t="shared" si="119"/>
        <v/>
      </c>
      <c r="AQ76" s="25" t="str">
        <f t="shared" si="120"/>
        <v/>
      </c>
      <c r="AR76" s="25" t="str">
        <f t="shared" si="121"/>
        <v/>
      </c>
      <c r="AS76" s="25" t="str">
        <f t="shared" si="122"/>
        <v/>
      </c>
      <c r="AT76" s="25" t="str">
        <f t="shared" si="123"/>
        <v/>
      </c>
      <c r="AU76" s="25" t="str">
        <f t="shared" si="124"/>
        <v/>
      </c>
      <c r="AV76" s="25" t="str">
        <f t="shared" si="125"/>
        <v/>
      </c>
      <c r="AW76" s="25" t="str">
        <f t="shared" si="126"/>
        <v/>
      </c>
      <c r="AX76" s="25" t="str">
        <f t="shared" si="127"/>
        <v/>
      </c>
      <c r="AY76" s="25" t="str">
        <f t="shared" si="128"/>
        <v/>
      </c>
      <c r="AZ76" s="25" t="str">
        <f t="shared" si="129"/>
        <v/>
      </c>
      <c r="BA76" s="25" t="str">
        <f t="shared" si="130"/>
        <v/>
      </c>
      <c r="BB76" s="25" t="str">
        <f t="shared" si="131"/>
        <v/>
      </c>
      <c r="BC76" s="25" t="str">
        <f t="shared" si="132"/>
        <v/>
      </c>
      <c r="BD76" s="25" t="str">
        <f t="shared" si="133"/>
        <v/>
      </c>
      <c r="BE76" s="25" t="str">
        <f t="shared" si="134"/>
        <v/>
      </c>
      <c r="BF76" s="25" t="str">
        <f t="shared" si="135"/>
        <v/>
      </c>
      <c r="BG76" s="25" t="str">
        <f t="shared" si="136"/>
        <v/>
      </c>
      <c r="BH76" s="25" t="str">
        <f t="shared" si="137"/>
        <v/>
      </c>
      <c r="BI76" s="6" t="str">
        <f t="shared" si="138"/>
        <v/>
      </c>
      <c r="BJ76" s="6" t="str">
        <f t="shared" si="139"/>
        <v/>
      </c>
      <c r="BK76" s="6" t="str">
        <f t="shared" si="140"/>
        <v/>
      </c>
      <c r="BL76" s="6" t="str">
        <f t="shared" si="141"/>
        <v/>
      </c>
      <c r="BM76" s="6" t="str">
        <f t="shared" si="142"/>
        <v/>
      </c>
      <c r="BN76" s="6" t="str">
        <f t="shared" si="143"/>
        <v/>
      </c>
      <c r="BO76" s="6" t="str">
        <f t="shared" si="144"/>
        <v/>
      </c>
      <c r="BP76" s="6" t="str">
        <f t="shared" si="145"/>
        <v/>
      </c>
      <c r="BQ76" s="6" t="str">
        <f t="shared" si="146"/>
        <v/>
      </c>
      <c r="BR76" s="6" t="str">
        <f t="shared" si="147"/>
        <v/>
      </c>
      <c r="BS76" s="6" t="str">
        <f t="shared" si="148"/>
        <v/>
      </c>
      <c r="BT76" s="6" t="str">
        <f t="shared" si="149"/>
        <v/>
      </c>
      <c r="BU76" s="6" t="str">
        <f t="shared" si="150"/>
        <v/>
      </c>
      <c r="BV76" s="6" t="str">
        <f t="shared" si="151"/>
        <v/>
      </c>
      <c r="BW76" s="6" t="str">
        <f t="shared" si="152"/>
        <v/>
      </c>
      <c r="BX76" s="6" t="str">
        <f t="shared" si="153"/>
        <v/>
      </c>
    </row>
    <row r="77" spans="3:76" ht="21">
      <c r="C77" s="25">
        <v>67</v>
      </c>
      <c r="D77" s="50"/>
      <c r="E77" s="50"/>
      <c r="F77" s="51" t="s">
        <v>8</v>
      </c>
      <c r="M77" s="25" t="str">
        <f t="shared" si="154"/>
        <v>19</v>
      </c>
      <c r="N77" s="25" t="str">
        <f t="shared" si="155"/>
        <v>11</v>
      </c>
      <c r="O77" s="25" t="str">
        <f t="shared" si="156"/>
        <v>1</v>
      </c>
      <c r="P77" s="25" t="str">
        <f t="shared" si="157"/>
        <v>4</v>
      </c>
      <c r="Q77" s="25" t="str">
        <f t="shared" si="158"/>
        <v>yellow</v>
      </c>
      <c r="R77" s="25" t="str">
        <f t="shared" si="159"/>
        <v>False</v>
      </c>
      <c r="S77" s="25"/>
      <c r="T77" s="25" t="str">
        <f t="shared" si="160"/>
        <v>True</v>
      </c>
      <c r="AA77" s="25" t="str">
        <f t="shared" si="105"/>
        <v/>
      </c>
      <c r="AB77" s="25" t="str">
        <f t="shared" si="106"/>
        <v/>
      </c>
      <c r="AD77" s="25" t="str">
        <f t="shared" si="107"/>
        <v/>
      </c>
      <c r="AE77" s="25" t="str">
        <f t="shared" si="108"/>
        <v/>
      </c>
      <c r="AF77" s="25" t="str">
        <f t="shared" si="109"/>
        <v/>
      </c>
      <c r="AG77" s="25" t="str">
        <f t="shared" si="110"/>
        <v/>
      </c>
      <c r="AH77" s="25" t="str">
        <f t="shared" si="111"/>
        <v/>
      </c>
      <c r="AI77" s="25" t="str">
        <f t="shared" si="112"/>
        <v/>
      </c>
      <c r="AJ77" s="25" t="str">
        <f t="shared" si="113"/>
        <v/>
      </c>
      <c r="AK77" s="25" t="str">
        <f t="shared" si="114"/>
        <v/>
      </c>
      <c r="AL77" s="25" t="str">
        <f t="shared" si="115"/>
        <v/>
      </c>
      <c r="AM77" s="25" t="str">
        <f t="shared" si="116"/>
        <v/>
      </c>
      <c r="AN77" s="25" t="str">
        <f t="shared" si="117"/>
        <v/>
      </c>
      <c r="AO77" s="25" t="str">
        <f t="shared" si="118"/>
        <v/>
      </c>
      <c r="AP77" s="25" t="str">
        <f t="shared" si="119"/>
        <v/>
      </c>
      <c r="AQ77" s="25" t="str">
        <f t="shared" si="120"/>
        <v/>
      </c>
      <c r="AR77" s="25" t="str">
        <f t="shared" si="121"/>
        <v/>
      </c>
      <c r="AS77" s="25" t="str">
        <f t="shared" si="122"/>
        <v/>
      </c>
      <c r="AT77" s="25" t="str">
        <f t="shared" si="123"/>
        <v/>
      </c>
      <c r="AU77" s="25" t="str">
        <f t="shared" si="124"/>
        <v/>
      </c>
      <c r="AV77" s="25" t="str">
        <f t="shared" si="125"/>
        <v/>
      </c>
      <c r="AW77" s="25" t="str">
        <f t="shared" si="126"/>
        <v/>
      </c>
      <c r="AX77" s="25" t="str">
        <f t="shared" si="127"/>
        <v/>
      </c>
      <c r="AY77" s="25" t="str">
        <f t="shared" si="128"/>
        <v/>
      </c>
      <c r="AZ77" s="25" t="str">
        <f t="shared" si="129"/>
        <v/>
      </c>
      <c r="BA77" s="25" t="str">
        <f t="shared" si="130"/>
        <v/>
      </c>
      <c r="BB77" s="25" t="str">
        <f t="shared" si="131"/>
        <v/>
      </c>
      <c r="BC77" s="25" t="str">
        <f t="shared" si="132"/>
        <v/>
      </c>
      <c r="BD77" s="25" t="str">
        <f t="shared" si="133"/>
        <v/>
      </c>
      <c r="BE77" s="25" t="str">
        <f t="shared" si="134"/>
        <v/>
      </c>
      <c r="BF77" s="25" t="str">
        <f t="shared" si="135"/>
        <v/>
      </c>
      <c r="BG77" s="25" t="str">
        <f t="shared" si="136"/>
        <v/>
      </c>
      <c r="BH77" s="25" t="str">
        <f t="shared" si="137"/>
        <v/>
      </c>
      <c r="BI77" s="6" t="str">
        <f t="shared" si="138"/>
        <v/>
      </c>
      <c r="BJ77" s="6" t="str">
        <f t="shared" si="139"/>
        <v/>
      </c>
      <c r="BK77" s="6" t="str">
        <f t="shared" si="140"/>
        <v/>
      </c>
      <c r="BL77" s="6" t="str">
        <f t="shared" si="141"/>
        <v/>
      </c>
      <c r="BM77" s="6" t="str">
        <f t="shared" si="142"/>
        <v/>
      </c>
      <c r="BN77" s="6" t="str">
        <f t="shared" si="143"/>
        <v/>
      </c>
      <c r="BO77" s="6" t="str">
        <f t="shared" si="144"/>
        <v/>
      </c>
      <c r="BP77" s="6" t="str">
        <f t="shared" si="145"/>
        <v/>
      </c>
      <c r="BQ77" s="6" t="str">
        <f t="shared" si="146"/>
        <v/>
      </c>
      <c r="BR77" s="6" t="str">
        <f t="shared" si="147"/>
        <v/>
      </c>
      <c r="BS77" s="6" t="str">
        <f t="shared" si="148"/>
        <v/>
      </c>
      <c r="BT77" s="6" t="str">
        <f t="shared" si="149"/>
        <v/>
      </c>
      <c r="BU77" s="6" t="str">
        <f t="shared" si="150"/>
        <v/>
      </c>
      <c r="BV77" s="6" t="str">
        <f t="shared" si="151"/>
        <v/>
      </c>
      <c r="BW77" s="6" t="str">
        <f t="shared" si="152"/>
        <v/>
      </c>
      <c r="BX77" s="6" t="str">
        <f t="shared" si="153"/>
        <v/>
      </c>
    </row>
    <row r="78" spans="3:76" ht="21">
      <c r="C78" s="25">
        <v>68</v>
      </c>
      <c r="D78" s="50"/>
      <c r="E78" s="50"/>
      <c r="F78" s="51" t="s">
        <v>8</v>
      </c>
      <c r="M78" s="25" t="str">
        <f t="shared" si="154"/>
        <v>19</v>
      </c>
      <c r="N78" s="25" t="str">
        <f t="shared" si="155"/>
        <v>11</v>
      </c>
      <c r="O78" s="25" t="str">
        <f t="shared" si="156"/>
        <v>1</v>
      </c>
      <c r="P78" s="25" t="str">
        <f t="shared" si="157"/>
        <v>4</v>
      </c>
      <c r="Q78" s="25" t="str">
        <f t="shared" si="158"/>
        <v>yellow</v>
      </c>
      <c r="R78" s="25" t="str">
        <f t="shared" si="159"/>
        <v>False</v>
      </c>
      <c r="S78" s="25"/>
      <c r="T78" s="25" t="str">
        <f t="shared" si="160"/>
        <v>True</v>
      </c>
      <c r="AA78" s="25" t="str">
        <f t="shared" si="105"/>
        <v/>
      </c>
      <c r="AB78" s="25" t="str">
        <f t="shared" si="106"/>
        <v/>
      </c>
      <c r="AD78" s="25" t="str">
        <f t="shared" si="107"/>
        <v/>
      </c>
      <c r="AE78" s="25" t="str">
        <f t="shared" si="108"/>
        <v/>
      </c>
      <c r="AF78" s="25" t="str">
        <f t="shared" si="109"/>
        <v/>
      </c>
      <c r="AG78" s="25" t="str">
        <f t="shared" si="110"/>
        <v/>
      </c>
      <c r="AH78" s="25" t="str">
        <f t="shared" si="111"/>
        <v/>
      </c>
      <c r="AI78" s="25" t="str">
        <f t="shared" si="112"/>
        <v/>
      </c>
      <c r="AJ78" s="25" t="str">
        <f t="shared" si="113"/>
        <v/>
      </c>
      <c r="AK78" s="25" t="str">
        <f t="shared" si="114"/>
        <v/>
      </c>
      <c r="AL78" s="25" t="str">
        <f t="shared" si="115"/>
        <v/>
      </c>
      <c r="AM78" s="25" t="str">
        <f t="shared" si="116"/>
        <v/>
      </c>
      <c r="AN78" s="25" t="str">
        <f t="shared" si="117"/>
        <v/>
      </c>
      <c r="AO78" s="25" t="str">
        <f t="shared" si="118"/>
        <v/>
      </c>
      <c r="AP78" s="25" t="str">
        <f t="shared" si="119"/>
        <v/>
      </c>
      <c r="AQ78" s="25" t="str">
        <f t="shared" si="120"/>
        <v/>
      </c>
      <c r="AR78" s="25" t="str">
        <f t="shared" si="121"/>
        <v/>
      </c>
      <c r="AS78" s="25" t="str">
        <f t="shared" si="122"/>
        <v/>
      </c>
      <c r="AT78" s="25" t="str">
        <f t="shared" si="123"/>
        <v/>
      </c>
      <c r="AU78" s="25" t="str">
        <f t="shared" si="124"/>
        <v/>
      </c>
      <c r="AV78" s="25" t="str">
        <f t="shared" si="125"/>
        <v/>
      </c>
      <c r="AW78" s="25" t="str">
        <f t="shared" si="126"/>
        <v/>
      </c>
      <c r="AX78" s="25" t="str">
        <f t="shared" si="127"/>
        <v/>
      </c>
      <c r="AY78" s="25" t="str">
        <f t="shared" si="128"/>
        <v/>
      </c>
      <c r="AZ78" s="25" t="str">
        <f t="shared" si="129"/>
        <v/>
      </c>
      <c r="BA78" s="25" t="str">
        <f t="shared" si="130"/>
        <v/>
      </c>
      <c r="BB78" s="25" t="str">
        <f t="shared" si="131"/>
        <v/>
      </c>
      <c r="BC78" s="25" t="str">
        <f t="shared" si="132"/>
        <v/>
      </c>
      <c r="BD78" s="25" t="str">
        <f t="shared" si="133"/>
        <v/>
      </c>
      <c r="BE78" s="25" t="str">
        <f t="shared" si="134"/>
        <v/>
      </c>
      <c r="BF78" s="25" t="str">
        <f t="shared" si="135"/>
        <v/>
      </c>
      <c r="BG78" s="25" t="str">
        <f t="shared" si="136"/>
        <v/>
      </c>
      <c r="BH78" s="25" t="str">
        <f t="shared" si="137"/>
        <v/>
      </c>
      <c r="BI78" s="6" t="str">
        <f t="shared" si="138"/>
        <v/>
      </c>
      <c r="BJ78" s="6" t="str">
        <f t="shared" si="139"/>
        <v/>
      </c>
      <c r="BK78" s="6" t="str">
        <f t="shared" si="140"/>
        <v/>
      </c>
      <c r="BL78" s="6" t="str">
        <f t="shared" si="141"/>
        <v/>
      </c>
      <c r="BM78" s="6" t="str">
        <f t="shared" si="142"/>
        <v/>
      </c>
      <c r="BN78" s="6" t="str">
        <f t="shared" si="143"/>
        <v/>
      </c>
      <c r="BO78" s="6" t="str">
        <f t="shared" si="144"/>
        <v/>
      </c>
      <c r="BP78" s="6" t="str">
        <f t="shared" si="145"/>
        <v/>
      </c>
      <c r="BQ78" s="6" t="str">
        <f t="shared" si="146"/>
        <v/>
      </c>
      <c r="BR78" s="6" t="str">
        <f t="shared" si="147"/>
        <v/>
      </c>
      <c r="BS78" s="6" t="str">
        <f t="shared" si="148"/>
        <v/>
      </c>
      <c r="BT78" s="6" t="str">
        <f t="shared" si="149"/>
        <v/>
      </c>
      <c r="BU78" s="6" t="str">
        <f t="shared" si="150"/>
        <v/>
      </c>
      <c r="BV78" s="6" t="str">
        <f t="shared" si="151"/>
        <v/>
      </c>
      <c r="BW78" s="6" t="str">
        <f t="shared" si="152"/>
        <v/>
      </c>
      <c r="BX78" s="6" t="str">
        <f t="shared" si="153"/>
        <v/>
      </c>
    </row>
    <row r="79" spans="3:76" ht="21">
      <c r="C79" s="25">
        <v>69</v>
      </c>
      <c r="D79" s="50"/>
      <c r="E79" s="50"/>
      <c r="F79" s="51" t="s">
        <v>8</v>
      </c>
      <c r="M79" s="25" t="str">
        <f t="shared" si="154"/>
        <v>19</v>
      </c>
      <c r="N79" s="25" t="str">
        <f t="shared" si="155"/>
        <v>11</v>
      </c>
      <c r="O79" s="25" t="str">
        <f t="shared" si="156"/>
        <v>1</v>
      </c>
      <c r="P79" s="25" t="str">
        <f t="shared" si="157"/>
        <v>4</v>
      </c>
      <c r="Q79" s="25" t="str">
        <f t="shared" si="158"/>
        <v>yellow</v>
      </c>
      <c r="R79" s="25" t="str">
        <f t="shared" si="159"/>
        <v>False</v>
      </c>
      <c r="S79" s="25"/>
      <c r="T79" s="25" t="str">
        <f t="shared" si="160"/>
        <v>True</v>
      </c>
      <c r="AA79" s="25" t="str">
        <f t="shared" si="105"/>
        <v/>
      </c>
      <c r="AB79" s="25" t="str">
        <f t="shared" si="106"/>
        <v/>
      </c>
      <c r="AD79" s="25" t="str">
        <f t="shared" si="107"/>
        <v/>
      </c>
      <c r="AE79" s="25" t="str">
        <f t="shared" si="108"/>
        <v/>
      </c>
      <c r="AF79" s="25" t="str">
        <f t="shared" si="109"/>
        <v/>
      </c>
      <c r="AG79" s="25" t="str">
        <f t="shared" si="110"/>
        <v/>
      </c>
      <c r="AH79" s="25" t="str">
        <f t="shared" si="111"/>
        <v/>
      </c>
      <c r="AI79" s="25" t="str">
        <f t="shared" si="112"/>
        <v/>
      </c>
      <c r="AJ79" s="25" t="str">
        <f t="shared" si="113"/>
        <v/>
      </c>
      <c r="AK79" s="25" t="str">
        <f t="shared" si="114"/>
        <v/>
      </c>
      <c r="AL79" s="25" t="str">
        <f t="shared" si="115"/>
        <v/>
      </c>
      <c r="AM79" s="25" t="str">
        <f t="shared" si="116"/>
        <v/>
      </c>
      <c r="AN79" s="25" t="str">
        <f t="shared" si="117"/>
        <v/>
      </c>
      <c r="AO79" s="25" t="str">
        <f t="shared" si="118"/>
        <v/>
      </c>
      <c r="AP79" s="25" t="str">
        <f t="shared" si="119"/>
        <v/>
      </c>
      <c r="AQ79" s="25" t="str">
        <f t="shared" si="120"/>
        <v/>
      </c>
      <c r="AR79" s="25" t="str">
        <f t="shared" si="121"/>
        <v/>
      </c>
      <c r="AS79" s="25" t="str">
        <f t="shared" si="122"/>
        <v/>
      </c>
      <c r="AT79" s="25" t="str">
        <f t="shared" si="123"/>
        <v/>
      </c>
      <c r="AU79" s="25" t="str">
        <f t="shared" si="124"/>
        <v/>
      </c>
      <c r="AV79" s="25" t="str">
        <f t="shared" si="125"/>
        <v/>
      </c>
      <c r="AW79" s="25" t="str">
        <f t="shared" si="126"/>
        <v/>
      </c>
      <c r="AX79" s="25" t="str">
        <f t="shared" si="127"/>
        <v/>
      </c>
      <c r="AY79" s="25" t="str">
        <f t="shared" si="128"/>
        <v/>
      </c>
      <c r="AZ79" s="25" t="str">
        <f t="shared" si="129"/>
        <v/>
      </c>
      <c r="BA79" s="25" t="str">
        <f t="shared" si="130"/>
        <v/>
      </c>
      <c r="BB79" s="25" t="str">
        <f t="shared" si="131"/>
        <v/>
      </c>
      <c r="BC79" s="25" t="str">
        <f t="shared" si="132"/>
        <v/>
      </c>
      <c r="BD79" s="25" t="str">
        <f t="shared" si="133"/>
        <v/>
      </c>
      <c r="BE79" s="25" t="str">
        <f t="shared" si="134"/>
        <v/>
      </c>
      <c r="BF79" s="25" t="str">
        <f t="shared" si="135"/>
        <v/>
      </c>
      <c r="BG79" s="25" t="str">
        <f t="shared" si="136"/>
        <v/>
      </c>
      <c r="BH79" s="25" t="str">
        <f t="shared" si="137"/>
        <v/>
      </c>
      <c r="BI79" s="6" t="str">
        <f t="shared" si="138"/>
        <v/>
      </c>
      <c r="BJ79" s="6" t="str">
        <f t="shared" si="139"/>
        <v/>
      </c>
      <c r="BK79" s="6" t="str">
        <f t="shared" si="140"/>
        <v/>
      </c>
      <c r="BL79" s="6" t="str">
        <f t="shared" si="141"/>
        <v/>
      </c>
      <c r="BM79" s="6" t="str">
        <f t="shared" si="142"/>
        <v/>
      </c>
      <c r="BN79" s="6" t="str">
        <f t="shared" si="143"/>
        <v/>
      </c>
      <c r="BO79" s="6" t="str">
        <f t="shared" si="144"/>
        <v/>
      </c>
      <c r="BP79" s="6" t="str">
        <f t="shared" si="145"/>
        <v/>
      </c>
      <c r="BQ79" s="6" t="str">
        <f t="shared" si="146"/>
        <v/>
      </c>
      <c r="BR79" s="6" t="str">
        <f t="shared" si="147"/>
        <v/>
      </c>
      <c r="BS79" s="6" t="str">
        <f t="shared" si="148"/>
        <v/>
      </c>
      <c r="BT79" s="6" t="str">
        <f t="shared" si="149"/>
        <v/>
      </c>
      <c r="BU79" s="6" t="str">
        <f t="shared" si="150"/>
        <v/>
      </c>
      <c r="BV79" s="6" t="str">
        <f t="shared" si="151"/>
        <v/>
      </c>
      <c r="BW79" s="6" t="str">
        <f t="shared" si="152"/>
        <v/>
      </c>
      <c r="BX79" s="6" t="str">
        <f t="shared" si="153"/>
        <v/>
      </c>
    </row>
    <row r="80" spans="3:76" ht="21">
      <c r="C80" s="25">
        <v>70</v>
      </c>
      <c r="D80" s="50"/>
      <c r="E80" s="50"/>
      <c r="F80" s="51" t="s">
        <v>8</v>
      </c>
      <c r="M80" s="25" t="str">
        <f t="shared" si="154"/>
        <v>19</v>
      </c>
      <c r="N80" s="25" t="str">
        <f t="shared" si="155"/>
        <v>11</v>
      </c>
      <c r="O80" s="25" t="str">
        <f t="shared" si="156"/>
        <v>1</v>
      </c>
      <c r="P80" s="25" t="str">
        <f t="shared" si="157"/>
        <v>4</v>
      </c>
      <c r="Q80" s="25" t="str">
        <f t="shared" si="158"/>
        <v>yellow</v>
      </c>
      <c r="R80" s="25" t="str">
        <f t="shared" si="159"/>
        <v>False</v>
      </c>
      <c r="S80" s="25"/>
      <c r="T80" s="25" t="str">
        <f t="shared" si="160"/>
        <v>True</v>
      </c>
      <c r="AA80" s="25" t="str">
        <f t="shared" si="105"/>
        <v/>
      </c>
      <c r="AB80" s="25" t="str">
        <f t="shared" si="106"/>
        <v/>
      </c>
      <c r="AD80" s="25" t="str">
        <f t="shared" si="107"/>
        <v/>
      </c>
      <c r="AE80" s="25" t="str">
        <f t="shared" si="108"/>
        <v/>
      </c>
      <c r="AF80" s="25" t="str">
        <f t="shared" si="109"/>
        <v/>
      </c>
      <c r="AG80" s="25" t="str">
        <f t="shared" si="110"/>
        <v/>
      </c>
      <c r="AH80" s="25" t="str">
        <f t="shared" si="111"/>
        <v/>
      </c>
      <c r="AI80" s="25" t="str">
        <f t="shared" si="112"/>
        <v/>
      </c>
      <c r="AJ80" s="25" t="str">
        <f t="shared" si="113"/>
        <v/>
      </c>
      <c r="AK80" s="25" t="str">
        <f t="shared" si="114"/>
        <v/>
      </c>
      <c r="AL80" s="25" t="str">
        <f t="shared" si="115"/>
        <v/>
      </c>
      <c r="AM80" s="25" t="str">
        <f t="shared" si="116"/>
        <v/>
      </c>
      <c r="AN80" s="25" t="str">
        <f t="shared" si="117"/>
        <v/>
      </c>
      <c r="AO80" s="25" t="str">
        <f t="shared" si="118"/>
        <v/>
      </c>
      <c r="AP80" s="25" t="str">
        <f t="shared" si="119"/>
        <v/>
      </c>
      <c r="AQ80" s="25" t="str">
        <f t="shared" si="120"/>
        <v/>
      </c>
      <c r="AR80" s="25" t="str">
        <f t="shared" si="121"/>
        <v/>
      </c>
      <c r="AS80" s="25" t="str">
        <f t="shared" si="122"/>
        <v/>
      </c>
      <c r="AT80" s="25" t="str">
        <f t="shared" si="123"/>
        <v/>
      </c>
      <c r="AU80" s="25" t="str">
        <f t="shared" si="124"/>
        <v/>
      </c>
      <c r="AV80" s="25" t="str">
        <f t="shared" si="125"/>
        <v/>
      </c>
      <c r="AW80" s="25" t="str">
        <f t="shared" si="126"/>
        <v/>
      </c>
      <c r="AX80" s="25" t="str">
        <f t="shared" si="127"/>
        <v/>
      </c>
      <c r="AY80" s="25" t="str">
        <f t="shared" si="128"/>
        <v/>
      </c>
      <c r="AZ80" s="25" t="str">
        <f t="shared" si="129"/>
        <v/>
      </c>
      <c r="BA80" s="25" t="str">
        <f t="shared" si="130"/>
        <v/>
      </c>
      <c r="BB80" s="25" t="str">
        <f t="shared" si="131"/>
        <v/>
      </c>
      <c r="BC80" s="25" t="str">
        <f t="shared" si="132"/>
        <v/>
      </c>
      <c r="BD80" s="25" t="str">
        <f t="shared" si="133"/>
        <v/>
      </c>
      <c r="BE80" s="25" t="str">
        <f t="shared" si="134"/>
        <v/>
      </c>
      <c r="BF80" s="25" t="str">
        <f t="shared" si="135"/>
        <v/>
      </c>
      <c r="BG80" s="25" t="str">
        <f t="shared" si="136"/>
        <v/>
      </c>
      <c r="BH80" s="25" t="str">
        <f t="shared" si="137"/>
        <v/>
      </c>
      <c r="BI80" s="6" t="str">
        <f t="shared" si="138"/>
        <v/>
      </c>
      <c r="BJ80" s="6" t="str">
        <f t="shared" si="139"/>
        <v/>
      </c>
      <c r="BK80" s="6" t="str">
        <f t="shared" si="140"/>
        <v/>
      </c>
      <c r="BL80" s="6" t="str">
        <f t="shared" si="141"/>
        <v/>
      </c>
      <c r="BM80" s="6" t="str">
        <f t="shared" si="142"/>
        <v/>
      </c>
      <c r="BN80" s="6" t="str">
        <f t="shared" si="143"/>
        <v/>
      </c>
      <c r="BO80" s="6" t="str">
        <f t="shared" si="144"/>
        <v/>
      </c>
      <c r="BP80" s="6" t="str">
        <f t="shared" si="145"/>
        <v/>
      </c>
      <c r="BQ80" s="6" t="str">
        <f t="shared" si="146"/>
        <v/>
      </c>
      <c r="BR80" s="6" t="str">
        <f t="shared" si="147"/>
        <v/>
      </c>
      <c r="BS80" s="6" t="str">
        <f t="shared" si="148"/>
        <v/>
      </c>
      <c r="BT80" s="6" t="str">
        <f t="shared" si="149"/>
        <v/>
      </c>
      <c r="BU80" s="6" t="str">
        <f t="shared" si="150"/>
        <v/>
      </c>
      <c r="BV80" s="6" t="str">
        <f t="shared" si="151"/>
        <v/>
      </c>
      <c r="BW80" s="6" t="str">
        <f t="shared" si="152"/>
        <v/>
      </c>
      <c r="BX80" s="6" t="str">
        <f t="shared" si="153"/>
        <v/>
      </c>
    </row>
    <row r="81" spans="3:76" ht="21">
      <c r="C81" s="25">
        <v>71</v>
      </c>
      <c r="D81" s="50"/>
      <c r="E81" s="50"/>
      <c r="F81" s="51" t="s">
        <v>8</v>
      </c>
      <c r="M81" s="25" t="str">
        <f t="shared" si="154"/>
        <v>19</v>
      </c>
      <c r="N81" s="25" t="str">
        <f t="shared" si="155"/>
        <v>11</v>
      </c>
      <c r="O81" s="25" t="str">
        <f t="shared" si="156"/>
        <v>1</v>
      </c>
      <c r="P81" s="25" t="str">
        <f t="shared" si="157"/>
        <v>4</v>
      </c>
      <c r="Q81" s="25" t="str">
        <f t="shared" si="158"/>
        <v>yellow</v>
      </c>
      <c r="R81" s="25" t="str">
        <f t="shared" si="159"/>
        <v>False</v>
      </c>
      <c r="S81" s="25"/>
      <c r="T81" s="25" t="str">
        <f t="shared" si="160"/>
        <v>True</v>
      </c>
      <c r="AA81" s="25" t="str">
        <f t="shared" si="105"/>
        <v/>
      </c>
      <c r="AB81" s="25" t="str">
        <f t="shared" si="106"/>
        <v/>
      </c>
      <c r="AD81" s="25" t="str">
        <f t="shared" si="107"/>
        <v/>
      </c>
      <c r="AE81" s="25" t="str">
        <f t="shared" si="108"/>
        <v/>
      </c>
      <c r="AF81" s="25" t="str">
        <f t="shared" si="109"/>
        <v/>
      </c>
      <c r="AG81" s="25" t="str">
        <f t="shared" si="110"/>
        <v/>
      </c>
      <c r="AH81" s="25" t="str">
        <f t="shared" si="111"/>
        <v/>
      </c>
      <c r="AI81" s="25" t="str">
        <f t="shared" si="112"/>
        <v/>
      </c>
      <c r="AJ81" s="25" t="str">
        <f t="shared" si="113"/>
        <v/>
      </c>
      <c r="AK81" s="25" t="str">
        <f t="shared" si="114"/>
        <v/>
      </c>
      <c r="AL81" s="25" t="str">
        <f t="shared" si="115"/>
        <v/>
      </c>
      <c r="AM81" s="25" t="str">
        <f t="shared" si="116"/>
        <v/>
      </c>
      <c r="AN81" s="25" t="str">
        <f t="shared" si="117"/>
        <v/>
      </c>
      <c r="AO81" s="25" t="str">
        <f t="shared" si="118"/>
        <v/>
      </c>
      <c r="AP81" s="25" t="str">
        <f t="shared" si="119"/>
        <v/>
      </c>
      <c r="AQ81" s="25" t="str">
        <f t="shared" si="120"/>
        <v/>
      </c>
      <c r="AR81" s="25" t="str">
        <f t="shared" si="121"/>
        <v/>
      </c>
      <c r="AS81" s="25" t="str">
        <f t="shared" si="122"/>
        <v/>
      </c>
      <c r="AT81" s="25" t="str">
        <f t="shared" si="123"/>
        <v/>
      </c>
      <c r="AU81" s="25" t="str">
        <f t="shared" si="124"/>
        <v/>
      </c>
      <c r="AV81" s="25" t="str">
        <f t="shared" si="125"/>
        <v/>
      </c>
      <c r="AW81" s="25" t="str">
        <f t="shared" si="126"/>
        <v/>
      </c>
      <c r="AX81" s="25" t="str">
        <f t="shared" si="127"/>
        <v/>
      </c>
      <c r="AY81" s="25" t="str">
        <f t="shared" si="128"/>
        <v/>
      </c>
      <c r="AZ81" s="25" t="str">
        <f t="shared" si="129"/>
        <v/>
      </c>
      <c r="BA81" s="25" t="str">
        <f t="shared" si="130"/>
        <v/>
      </c>
      <c r="BB81" s="25" t="str">
        <f t="shared" si="131"/>
        <v/>
      </c>
      <c r="BC81" s="25" t="str">
        <f t="shared" si="132"/>
        <v/>
      </c>
      <c r="BD81" s="25" t="str">
        <f t="shared" si="133"/>
        <v/>
      </c>
      <c r="BE81" s="25" t="str">
        <f t="shared" si="134"/>
        <v/>
      </c>
      <c r="BF81" s="25" t="str">
        <f t="shared" si="135"/>
        <v/>
      </c>
      <c r="BG81" s="25" t="str">
        <f t="shared" si="136"/>
        <v/>
      </c>
      <c r="BH81" s="25" t="str">
        <f t="shared" si="137"/>
        <v/>
      </c>
      <c r="BI81" s="6" t="str">
        <f t="shared" si="138"/>
        <v/>
      </c>
      <c r="BJ81" s="6" t="str">
        <f t="shared" si="139"/>
        <v/>
      </c>
      <c r="BK81" s="6" t="str">
        <f t="shared" si="140"/>
        <v/>
      </c>
      <c r="BL81" s="6" t="str">
        <f t="shared" si="141"/>
        <v/>
      </c>
      <c r="BM81" s="6" t="str">
        <f t="shared" si="142"/>
        <v/>
      </c>
      <c r="BN81" s="6" t="str">
        <f t="shared" si="143"/>
        <v/>
      </c>
      <c r="BO81" s="6" t="str">
        <f t="shared" si="144"/>
        <v/>
      </c>
      <c r="BP81" s="6" t="str">
        <f t="shared" si="145"/>
        <v/>
      </c>
      <c r="BQ81" s="6" t="str">
        <f t="shared" si="146"/>
        <v/>
      </c>
      <c r="BR81" s="6" t="str">
        <f t="shared" si="147"/>
        <v/>
      </c>
      <c r="BS81" s="6" t="str">
        <f t="shared" si="148"/>
        <v/>
      </c>
      <c r="BT81" s="6" t="str">
        <f t="shared" si="149"/>
        <v/>
      </c>
      <c r="BU81" s="6" t="str">
        <f t="shared" si="150"/>
        <v/>
      </c>
      <c r="BV81" s="6" t="str">
        <f t="shared" si="151"/>
        <v/>
      </c>
      <c r="BW81" s="6" t="str">
        <f t="shared" si="152"/>
        <v/>
      </c>
      <c r="BX81" s="6" t="str">
        <f t="shared" si="153"/>
        <v/>
      </c>
    </row>
    <row r="82" spans="3:76" ht="21">
      <c r="C82" s="25">
        <v>72</v>
      </c>
      <c r="D82" s="50"/>
      <c r="E82" s="50"/>
      <c r="F82" s="51" t="s">
        <v>8</v>
      </c>
      <c r="M82" s="25" t="str">
        <f t="shared" si="154"/>
        <v>19</v>
      </c>
      <c r="N82" s="25" t="str">
        <f t="shared" si="155"/>
        <v>11</v>
      </c>
      <c r="O82" s="25" t="str">
        <f t="shared" si="156"/>
        <v>1</v>
      </c>
      <c r="P82" s="25" t="str">
        <f t="shared" si="157"/>
        <v>4</v>
      </c>
      <c r="Q82" s="25" t="str">
        <f t="shared" si="158"/>
        <v>yellow</v>
      </c>
      <c r="R82" s="25" t="str">
        <f t="shared" si="159"/>
        <v>False</v>
      </c>
      <c r="S82" s="25"/>
      <c r="T82" s="25" t="str">
        <f t="shared" si="160"/>
        <v>True</v>
      </c>
      <c r="AA82" s="25" t="str">
        <f t="shared" si="105"/>
        <v/>
      </c>
      <c r="AB82" s="25" t="str">
        <f t="shared" si="106"/>
        <v/>
      </c>
      <c r="AD82" s="25" t="str">
        <f t="shared" si="107"/>
        <v/>
      </c>
      <c r="AE82" s="25" t="str">
        <f t="shared" si="108"/>
        <v/>
      </c>
      <c r="AF82" s="25" t="str">
        <f t="shared" si="109"/>
        <v/>
      </c>
      <c r="AG82" s="25" t="str">
        <f t="shared" si="110"/>
        <v/>
      </c>
      <c r="AH82" s="25" t="str">
        <f t="shared" si="111"/>
        <v/>
      </c>
      <c r="AI82" s="25" t="str">
        <f t="shared" si="112"/>
        <v/>
      </c>
      <c r="AJ82" s="25" t="str">
        <f t="shared" si="113"/>
        <v/>
      </c>
      <c r="AK82" s="25" t="str">
        <f t="shared" si="114"/>
        <v/>
      </c>
      <c r="AL82" s="25" t="str">
        <f t="shared" si="115"/>
        <v/>
      </c>
      <c r="AM82" s="25" t="str">
        <f t="shared" si="116"/>
        <v/>
      </c>
      <c r="AN82" s="25" t="str">
        <f t="shared" si="117"/>
        <v/>
      </c>
      <c r="AO82" s="25" t="str">
        <f t="shared" si="118"/>
        <v/>
      </c>
      <c r="AP82" s="25" t="str">
        <f t="shared" si="119"/>
        <v/>
      </c>
      <c r="AQ82" s="25" t="str">
        <f t="shared" si="120"/>
        <v/>
      </c>
      <c r="AR82" s="25" t="str">
        <f t="shared" si="121"/>
        <v/>
      </c>
      <c r="AS82" s="25" t="str">
        <f t="shared" si="122"/>
        <v/>
      </c>
      <c r="AT82" s="25" t="str">
        <f t="shared" si="123"/>
        <v/>
      </c>
      <c r="AU82" s="25" t="str">
        <f t="shared" si="124"/>
        <v/>
      </c>
      <c r="AV82" s="25" t="str">
        <f t="shared" si="125"/>
        <v/>
      </c>
      <c r="AW82" s="25" t="str">
        <f t="shared" si="126"/>
        <v/>
      </c>
      <c r="AX82" s="25" t="str">
        <f t="shared" si="127"/>
        <v/>
      </c>
      <c r="AY82" s="25" t="str">
        <f t="shared" si="128"/>
        <v/>
      </c>
      <c r="AZ82" s="25" t="str">
        <f t="shared" si="129"/>
        <v/>
      </c>
      <c r="BA82" s="25" t="str">
        <f t="shared" si="130"/>
        <v/>
      </c>
      <c r="BB82" s="25" t="str">
        <f t="shared" si="131"/>
        <v/>
      </c>
      <c r="BC82" s="25" t="str">
        <f t="shared" si="132"/>
        <v/>
      </c>
      <c r="BD82" s="25" t="str">
        <f t="shared" si="133"/>
        <v/>
      </c>
      <c r="BE82" s="25" t="str">
        <f t="shared" si="134"/>
        <v/>
      </c>
      <c r="BF82" s="25" t="str">
        <f t="shared" si="135"/>
        <v/>
      </c>
      <c r="BG82" s="25" t="str">
        <f t="shared" si="136"/>
        <v/>
      </c>
      <c r="BH82" s="25" t="str">
        <f t="shared" si="137"/>
        <v/>
      </c>
      <c r="BI82" s="6" t="str">
        <f t="shared" si="138"/>
        <v/>
      </c>
      <c r="BJ82" s="6" t="str">
        <f t="shared" si="139"/>
        <v/>
      </c>
      <c r="BK82" s="6" t="str">
        <f t="shared" si="140"/>
        <v/>
      </c>
      <c r="BL82" s="6" t="str">
        <f t="shared" si="141"/>
        <v/>
      </c>
      <c r="BM82" s="6" t="str">
        <f t="shared" si="142"/>
        <v/>
      </c>
      <c r="BN82" s="6" t="str">
        <f t="shared" si="143"/>
        <v/>
      </c>
      <c r="BO82" s="6" t="str">
        <f t="shared" si="144"/>
        <v/>
      </c>
      <c r="BP82" s="6" t="str">
        <f t="shared" si="145"/>
        <v/>
      </c>
      <c r="BQ82" s="6" t="str">
        <f t="shared" si="146"/>
        <v/>
      </c>
      <c r="BR82" s="6" t="str">
        <f t="shared" si="147"/>
        <v/>
      </c>
      <c r="BS82" s="6" t="str">
        <f t="shared" si="148"/>
        <v/>
      </c>
      <c r="BT82" s="6" t="str">
        <f t="shared" si="149"/>
        <v/>
      </c>
      <c r="BU82" s="6" t="str">
        <f t="shared" si="150"/>
        <v/>
      </c>
      <c r="BV82" s="6" t="str">
        <f t="shared" si="151"/>
        <v/>
      </c>
      <c r="BW82" s="6" t="str">
        <f t="shared" si="152"/>
        <v/>
      </c>
      <c r="BX82" s="6" t="str">
        <f t="shared" si="153"/>
        <v/>
      </c>
    </row>
    <row r="83" spans="3:76" ht="21">
      <c r="C83" s="25">
        <v>73</v>
      </c>
      <c r="D83" s="50"/>
      <c r="E83" s="50"/>
      <c r="F83" s="51" t="s">
        <v>8</v>
      </c>
      <c r="M83" s="25" t="str">
        <f t="shared" si="154"/>
        <v>19</v>
      </c>
      <c r="N83" s="25" t="str">
        <f t="shared" si="155"/>
        <v>11</v>
      </c>
      <c r="O83" s="25" t="str">
        <f t="shared" si="156"/>
        <v>1</v>
      </c>
      <c r="P83" s="25" t="str">
        <f t="shared" si="157"/>
        <v>4</v>
      </c>
      <c r="Q83" s="25" t="str">
        <f t="shared" si="158"/>
        <v>yellow</v>
      </c>
      <c r="R83" s="25" t="str">
        <f t="shared" si="159"/>
        <v>False</v>
      </c>
      <c r="S83" s="25"/>
      <c r="T83" s="25" t="str">
        <f t="shared" si="160"/>
        <v>True</v>
      </c>
      <c r="AA83" s="25" t="str">
        <f t="shared" si="105"/>
        <v/>
      </c>
      <c r="AB83" s="25" t="str">
        <f t="shared" si="106"/>
        <v/>
      </c>
      <c r="AD83" s="25" t="str">
        <f t="shared" si="107"/>
        <v/>
      </c>
      <c r="AE83" s="25" t="str">
        <f t="shared" si="108"/>
        <v/>
      </c>
      <c r="AF83" s="25" t="str">
        <f t="shared" si="109"/>
        <v/>
      </c>
      <c r="AG83" s="25" t="str">
        <f t="shared" si="110"/>
        <v/>
      </c>
      <c r="AH83" s="25" t="str">
        <f t="shared" si="111"/>
        <v/>
      </c>
      <c r="AI83" s="25" t="str">
        <f t="shared" si="112"/>
        <v/>
      </c>
      <c r="AJ83" s="25" t="str">
        <f t="shared" si="113"/>
        <v/>
      </c>
      <c r="AK83" s="25" t="str">
        <f t="shared" si="114"/>
        <v/>
      </c>
      <c r="AL83" s="25" t="str">
        <f t="shared" si="115"/>
        <v/>
      </c>
      <c r="AM83" s="25" t="str">
        <f t="shared" si="116"/>
        <v/>
      </c>
      <c r="AN83" s="25" t="str">
        <f t="shared" si="117"/>
        <v/>
      </c>
      <c r="AO83" s="25" t="str">
        <f t="shared" si="118"/>
        <v/>
      </c>
      <c r="AP83" s="25" t="str">
        <f t="shared" si="119"/>
        <v/>
      </c>
      <c r="AQ83" s="25" t="str">
        <f t="shared" si="120"/>
        <v/>
      </c>
      <c r="AR83" s="25" t="str">
        <f t="shared" si="121"/>
        <v/>
      </c>
      <c r="AS83" s="25" t="str">
        <f t="shared" si="122"/>
        <v/>
      </c>
      <c r="AT83" s="25" t="str">
        <f t="shared" si="123"/>
        <v/>
      </c>
      <c r="AU83" s="25" t="str">
        <f t="shared" si="124"/>
        <v/>
      </c>
      <c r="AV83" s="25" t="str">
        <f t="shared" si="125"/>
        <v/>
      </c>
      <c r="AW83" s="25" t="str">
        <f t="shared" si="126"/>
        <v/>
      </c>
      <c r="AX83" s="25" t="str">
        <f t="shared" si="127"/>
        <v/>
      </c>
      <c r="AY83" s="25" t="str">
        <f t="shared" si="128"/>
        <v/>
      </c>
      <c r="AZ83" s="25" t="str">
        <f t="shared" si="129"/>
        <v/>
      </c>
      <c r="BA83" s="25" t="str">
        <f t="shared" si="130"/>
        <v/>
      </c>
      <c r="BB83" s="25" t="str">
        <f t="shared" si="131"/>
        <v/>
      </c>
      <c r="BC83" s="25" t="str">
        <f t="shared" si="132"/>
        <v/>
      </c>
      <c r="BD83" s="25" t="str">
        <f t="shared" si="133"/>
        <v/>
      </c>
      <c r="BE83" s="25" t="str">
        <f t="shared" si="134"/>
        <v/>
      </c>
      <c r="BF83" s="25" t="str">
        <f t="shared" si="135"/>
        <v/>
      </c>
      <c r="BG83" s="25" t="str">
        <f t="shared" si="136"/>
        <v/>
      </c>
      <c r="BH83" s="25" t="str">
        <f t="shared" si="137"/>
        <v/>
      </c>
      <c r="BI83" s="6" t="str">
        <f t="shared" si="138"/>
        <v/>
      </c>
      <c r="BJ83" s="6" t="str">
        <f t="shared" si="139"/>
        <v/>
      </c>
      <c r="BK83" s="6" t="str">
        <f t="shared" si="140"/>
        <v/>
      </c>
      <c r="BL83" s="6" t="str">
        <f t="shared" si="141"/>
        <v/>
      </c>
      <c r="BM83" s="6" t="str">
        <f t="shared" si="142"/>
        <v/>
      </c>
      <c r="BN83" s="6" t="str">
        <f t="shared" si="143"/>
        <v/>
      </c>
      <c r="BO83" s="6" t="str">
        <f t="shared" si="144"/>
        <v/>
      </c>
      <c r="BP83" s="6" t="str">
        <f t="shared" si="145"/>
        <v/>
      </c>
      <c r="BQ83" s="6" t="str">
        <f t="shared" si="146"/>
        <v/>
      </c>
      <c r="BR83" s="6" t="str">
        <f t="shared" si="147"/>
        <v/>
      </c>
      <c r="BS83" s="6" t="str">
        <f t="shared" si="148"/>
        <v/>
      </c>
      <c r="BT83" s="6" t="str">
        <f t="shared" si="149"/>
        <v/>
      </c>
      <c r="BU83" s="6" t="str">
        <f t="shared" si="150"/>
        <v/>
      </c>
      <c r="BV83" s="6" t="str">
        <f t="shared" si="151"/>
        <v/>
      </c>
      <c r="BW83" s="6" t="str">
        <f t="shared" si="152"/>
        <v/>
      </c>
      <c r="BX83" s="6" t="str">
        <f t="shared" si="153"/>
        <v/>
      </c>
    </row>
    <row r="84" spans="3:76" ht="21">
      <c r="C84" s="25">
        <v>74</v>
      </c>
      <c r="D84" s="50"/>
      <c r="E84" s="50"/>
      <c r="F84" s="51" t="s">
        <v>8</v>
      </c>
      <c r="M84" s="25" t="str">
        <f t="shared" si="154"/>
        <v>19</v>
      </c>
      <c r="N84" s="25" t="str">
        <f t="shared" si="155"/>
        <v>11</v>
      </c>
      <c r="O84" s="25" t="str">
        <f t="shared" si="156"/>
        <v>1</v>
      </c>
      <c r="P84" s="25" t="str">
        <f t="shared" si="157"/>
        <v>4</v>
      </c>
      <c r="Q84" s="25" t="str">
        <f t="shared" si="158"/>
        <v>yellow</v>
      </c>
      <c r="R84" s="25" t="str">
        <f t="shared" si="159"/>
        <v>False</v>
      </c>
      <c r="S84" s="25"/>
      <c r="T84" s="25" t="str">
        <f t="shared" si="160"/>
        <v>True</v>
      </c>
      <c r="AA84" s="25" t="str">
        <f t="shared" si="105"/>
        <v/>
      </c>
      <c r="AB84" s="25" t="str">
        <f t="shared" si="106"/>
        <v/>
      </c>
      <c r="AD84" s="25" t="str">
        <f t="shared" si="107"/>
        <v/>
      </c>
      <c r="AE84" s="25" t="str">
        <f t="shared" si="108"/>
        <v/>
      </c>
      <c r="AF84" s="25" t="str">
        <f t="shared" si="109"/>
        <v/>
      </c>
      <c r="AG84" s="25" t="str">
        <f t="shared" si="110"/>
        <v/>
      </c>
      <c r="AH84" s="25" t="str">
        <f t="shared" si="111"/>
        <v/>
      </c>
      <c r="AI84" s="25" t="str">
        <f t="shared" si="112"/>
        <v/>
      </c>
      <c r="AJ84" s="25" t="str">
        <f t="shared" si="113"/>
        <v/>
      </c>
      <c r="AK84" s="25" t="str">
        <f t="shared" si="114"/>
        <v/>
      </c>
      <c r="AL84" s="25" t="str">
        <f t="shared" si="115"/>
        <v/>
      </c>
      <c r="AM84" s="25" t="str">
        <f t="shared" si="116"/>
        <v/>
      </c>
      <c r="AN84" s="25" t="str">
        <f t="shared" si="117"/>
        <v/>
      </c>
      <c r="AO84" s="25" t="str">
        <f t="shared" si="118"/>
        <v/>
      </c>
      <c r="AP84" s="25" t="str">
        <f t="shared" si="119"/>
        <v/>
      </c>
      <c r="AQ84" s="25" t="str">
        <f t="shared" si="120"/>
        <v/>
      </c>
      <c r="AR84" s="25" t="str">
        <f t="shared" si="121"/>
        <v/>
      </c>
      <c r="AS84" s="25" t="str">
        <f t="shared" si="122"/>
        <v/>
      </c>
      <c r="AT84" s="25" t="str">
        <f t="shared" si="123"/>
        <v/>
      </c>
      <c r="AU84" s="25" t="str">
        <f t="shared" si="124"/>
        <v/>
      </c>
      <c r="AV84" s="25" t="str">
        <f t="shared" si="125"/>
        <v/>
      </c>
      <c r="AW84" s="25" t="str">
        <f t="shared" si="126"/>
        <v/>
      </c>
      <c r="AX84" s="25" t="str">
        <f t="shared" si="127"/>
        <v/>
      </c>
      <c r="AY84" s="25" t="str">
        <f t="shared" si="128"/>
        <v/>
      </c>
      <c r="AZ84" s="25" t="str">
        <f t="shared" si="129"/>
        <v/>
      </c>
      <c r="BA84" s="25" t="str">
        <f t="shared" si="130"/>
        <v/>
      </c>
      <c r="BB84" s="25" t="str">
        <f t="shared" si="131"/>
        <v/>
      </c>
      <c r="BC84" s="25" t="str">
        <f t="shared" si="132"/>
        <v/>
      </c>
      <c r="BD84" s="25" t="str">
        <f t="shared" si="133"/>
        <v/>
      </c>
      <c r="BE84" s="25" t="str">
        <f t="shared" si="134"/>
        <v/>
      </c>
      <c r="BF84" s="25" t="str">
        <f t="shared" si="135"/>
        <v/>
      </c>
      <c r="BG84" s="25" t="str">
        <f t="shared" si="136"/>
        <v/>
      </c>
      <c r="BH84" s="25" t="str">
        <f t="shared" si="137"/>
        <v/>
      </c>
      <c r="BI84" s="6" t="str">
        <f t="shared" si="138"/>
        <v/>
      </c>
      <c r="BJ84" s="6" t="str">
        <f t="shared" si="139"/>
        <v/>
      </c>
      <c r="BK84" s="6" t="str">
        <f t="shared" si="140"/>
        <v/>
      </c>
      <c r="BL84" s="6" t="str">
        <f t="shared" si="141"/>
        <v/>
      </c>
      <c r="BM84" s="6" t="str">
        <f t="shared" si="142"/>
        <v/>
      </c>
      <c r="BN84" s="6" t="str">
        <f t="shared" si="143"/>
        <v/>
      </c>
      <c r="BO84" s="6" t="str">
        <f t="shared" si="144"/>
        <v/>
      </c>
      <c r="BP84" s="6" t="str">
        <f t="shared" si="145"/>
        <v/>
      </c>
      <c r="BQ84" s="6" t="str">
        <f t="shared" si="146"/>
        <v/>
      </c>
      <c r="BR84" s="6" t="str">
        <f t="shared" si="147"/>
        <v/>
      </c>
      <c r="BS84" s="6" t="str">
        <f t="shared" si="148"/>
        <v/>
      </c>
      <c r="BT84" s="6" t="str">
        <f t="shared" si="149"/>
        <v/>
      </c>
      <c r="BU84" s="6" t="str">
        <f t="shared" si="150"/>
        <v/>
      </c>
      <c r="BV84" s="6" t="str">
        <f t="shared" si="151"/>
        <v/>
      </c>
      <c r="BW84" s="6" t="str">
        <f t="shared" si="152"/>
        <v/>
      </c>
      <c r="BX84" s="6" t="str">
        <f t="shared" si="153"/>
        <v/>
      </c>
    </row>
    <row r="85" spans="3:76" ht="21">
      <c r="C85" s="25">
        <v>75</v>
      </c>
      <c r="D85" s="50"/>
      <c r="E85" s="50"/>
      <c r="F85" s="51" t="s">
        <v>8</v>
      </c>
      <c r="M85" s="25" t="str">
        <f t="shared" si="154"/>
        <v>19</v>
      </c>
      <c r="N85" s="25" t="str">
        <f t="shared" si="155"/>
        <v>11</v>
      </c>
      <c r="O85" s="25" t="str">
        <f t="shared" si="156"/>
        <v>1</v>
      </c>
      <c r="P85" s="25" t="str">
        <f t="shared" si="157"/>
        <v>4</v>
      </c>
      <c r="Q85" s="25" t="str">
        <f t="shared" si="158"/>
        <v>yellow</v>
      </c>
      <c r="R85" s="25" t="str">
        <f t="shared" si="159"/>
        <v>False</v>
      </c>
      <c r="S85" s="25"/>
      <c r="T85" s="25" t="str">
        <f t="shared" si="160"/>
        <v>True</v>
      </c>
      <c r="AA85" s="25" t="str">
        <f t="shared" si="105"/>
        <v/>
      </c>
      <c r="AB85" s="25" t="str">
        <f t="shared" si="106"/>
        <v/>
      </c>
      <c r="AD85" s="25" t="str">
        <f t="shared" si="107"/>
        <v/>
      </c>
      <c r="AE85" s="25" t="str">
        <f t="shared" si="108"/>
        <v/>
      </c>
      <c r="AF85" s="25" t="str">
        <f t="shared" si="109"/>
        <v/>
      </c>
      <c r="AG85" s="25" t="str">
        <f t="shared" si="110"/>
        <v/>
      </c>
      <c r="AH85" s="25" t="str">
        <f t="shared" si="111"/>
        <v/>
      </c>
      <c r="AI85" s="25" t="str">
        <f t="shared" si="112"/>
        <v/>
      </c>
      <c r="AJ85" s="25" t="str">
        <f t="shared" si="113"/>
        <v/>
      </c>
      <c r="AK85" s="25" t="str">
        <f t="shared" si="114"/>
        <v/>
      </c>
      <c r="AL85" s="25" t="str">
        <f t="shared" si="115"/>
        <v/>
      </c>
      <c r="AM85" s="25" t="str">
        <f t="shared" si="116"/>
        <v/>
      </c>
      <c r="AN85" s="25" t="str">
        <f t="shared" si="117"/>
        <v/>
      </c>
      <c r="AO85" s="25" t="str">
        <f t="shared" si="118"/>
        <v/>
      </c>
      <c r="AP85" s="25" t="str">
        <f t="shared" si="119"/>
        <v/>
      </c>
      <c r="AQ85" s="25" t="str">
        <f t="shared" si="120"/>
        <v/>
      </c>
      <c r="AR85" s="25" t="str">
        <f t="shared" si="121"/>
        <v/>
      </c>
      <c r="AS85" s="25" t="str">
        <f t="shared" si="122"/>
        <v/>
      </c>
      <c r="AT85" s="25" t="str">
        <f t="shared" si="123"/>
        <v/>
      </c>
      <c r="AU85" s="25" t="str">
        <f t="shared" si="124"/>
        <v/>
      </c>
      <c r="AV85" s="25" t="str">
        <f t="shared" si="125"/>
        <v/>
      </c>
      <c r="AW85" s="25" t="str">
        <f t="shared" si="126"/>
        <v/>
      </c>
      <c r="AX85" s="25" t="str">
        <f t="shared" si="127"/>
        <v/>
      </c>
      <c r="AY85" s="25" t="str">
        <f t="shared" si="128"/>
        <v/>
      </c>
      <c r="AZ85" s="25" t="str">
        <f t="shared" si="129"/>
        <v/>
      </c>
      <c r="BA85" s="25" t="str">
        <f t="shared" si="130"/>
        <v/>
      </c>
      <c r="BB85" s="25" t="str">
        <f t="shared" si="131"/>
        <v/>
      </c>
      <c r="BC85" s="25" t="str">
        <f t="shared" si="132"/>
        <v/>
      </c>
      <c r="BD85" s="25" t="str">
        <f t="shared" si="133"/>
        <v/>
      </c>
      <c r="BE85" s="25" t="str">
        <f t="shared" si="134"/>
        <v/>
      </c>
      <c r="BF85" s="25" t="str">
        <f t="shared" si="135"/>
        <v/>
      </c>
      <c r="BG85" s="25" t="str">
        <f t="shared" si="136"/>
        <v/>
      </c>
      <c r="BH85" s="25" t="str">
        <f t="shared" si="137"/>
        <v/>
      </c>
      <c r="BI85" s="6" t="str">
        <f t="shared" si="138"/>
        <v/>
      </c>
      <c r="BJ85" s="6" t="str">
        <f t="shared" si="139"/>
        <v/>
      </c>
      <c r="BK85" s="6" t="str">
        <f t="shared" si="140"/>
        <v/>
      </c>
      <c r="BL85" s="6" t="str">
        <f t="shared" si="141"/>
        <v/>
      </c>
      <c r="BM85" s="6" t="str">
        <f t="shared" si="142"/>
        <v/>
      </c>
      <c r="BN85" s="6" t="str">
        <f t="shared" si="143"/>
        <v/>
      </c>
      <c r="BO85" s="6" t="str">
        <f t="shared" si="144"/>
        <v/>
      </c>
      <c r="BP85" s="6" t="str">
        <f t="shared" si="145"/>
        <v/>
      </c>
      <c r="BQ85" s="6" t="str">
        <f t="shared" si="146"/>
        <v/>
      </c>
      <c r="BR85" s="6" t="str">
        <f t="shared" si="147"/>
        <v/>
      </c>
      <c r="BS85" s="6" t="str">
        <f t="shared" si="148"/>
        <v/>
      </c>
      <c r="BT85" s="6" t="str">
        <f t="shared" si="149"/>
        <v/>
      </c>
      <c r="BU85" s="6" t="str">
        <f t="shared" si="150"/>
        <v/>
      </c>
      <c r="BV85" s="6" t="str">
        <f t="shared" si="151"/>
        <v/>
      </c>
      <c r="BW85" s="6" t="str">
        <f t="shared" si="152"/>
        <v/>
      </c>
      <c r="BX85" s="6" t="str">
        <f t="shared" si="153"/>
        <v/>
      </c>
    </row>
    <row r="86" spans="3:76" ht="21">
      <c r="C86" s="25">
        <v>76</v>
      </c>
      <c r="D86" s="50"/>
      <c r="E86" s="50"/>
      <c r="F86" s="51" t="s">
        <v>8</v>
      </c>
      <c r="M86" s="25" t="str">
        <f t="shared" si="154"/>
        <v>19</v>
      </c>
      <c r="N86" s="25" t="str">
        <f t="shared" si="155"/>
        <v>11</v>
      </c>
      <c r="O86" s="25" t="str">
        <f t="shared" si="156"/>
        <v>1</v>
      </c>
      <c r="P86" s="25" t="str">
        <f t="shared" si="157"/>
        <v>4</v>
      </c>
      <c r="Q86" s="25" t="str">
        <f t="shared" si="158"/>
        <v>yellow</v>
      </c>
      <c r="R86" s="25" t="str">
        <f t="shared" si="159"/>
        <v>False</v>
      </c>
      <c r="S86" s="25"/>
      <c r="T86" s="25" t="str">
        <f t="shared" si="160"/>
        <v>True</v>
      </c>
      <c r="AA86" s="25" t="str">
        <f t="shared" si="105"/>
        <v/>
      </c>
      <c r="AB86" s="25" t="str">
        <f t="shared" si="106"/>
        <v/>
      </c>
      <c r="AD86" s="25" t="str">
        <f t="shared" si="107"/>
        <v/>
      </c>
      <c r="AE86" s="25" t="str">
        <f t="shared" si="108"/>
        <v/>
      </c>
      <c r="AF86" s="25" t="str">
        <f t="shared" si="109"/>
        <v/>
      </c>
      <c r="AG86" s="25" t="str">
        <f t="shared" si="110"/>
        <v/>
      </c>
      <c r="AH86" s="25" t="str">
        <f t="shared" si="111"/>
        <v/>
      </c>
      <c r="AI86" s="25" t="str">
        <f t="shared" si="112"/>
        <v/>
      </c>
      <c r="AJ86" s="25" t="str">
        <f t="shared" si="113"/>
        <v/>
      </c>
      <c r="AK86" s="25" t="str">
        <f t="shared" si="114"/>
        <v/>
      </c>
      <c r="AL86" s="25" t="str">
        <f t="shared" si="115"/>
        <v/>
      </c>
      <c r="AM86" s="25" t="str">
        <f t="shared" si="116"/>
        <v/>
      </c>
      <c r="AN86" s="25" t="str">
        <f t="shared" si="117"/>
        <v/>
      </c>
      <c r="AO86" s="25" t="str">
        <f t="shared" si="118"/>
        <v/>
      </c>
      <c r="AP86" s="25" t="str">
        <f t="shared" si="119"/>
        <v/>
      </c>
      <c r="AQ86" s="25" t="str">
        <f t="shared" si="120"/>
        <v/>
      </c>
      <c r="AR86" s="25" t="str">
        <f t="shared" si="121"/>
        <v/>
      </c>
      <c r="AS86" s="25" t="str">
        <f t="shared" si="122"/>
        <v/>
      </c>
      <c r="AT86" s="25" t="str">
        <f t="shared" si="123"/>
        <v/>
      </c>
      <c r="AU86" s="25" t="str">
        <f t="shared" si="124"/>
        <v/>
      </c>
      <c r="AV86" s="25" t="str">
        <f t="shared" si="125"/>
        <v/>
      </c>
      <c r="AW86" s="25" t="str">
        <f t="shared" si="126"/>
        <v/>
      </c>
      <c r="AX86" s="25" t="str">
        <f t="shared" si="127"/>
        <v/>
      </c>
      <c r="AY86" s="25" t="str">
        <f t="shared" si="128"/>
        <v/>
      </c>
      <c r="AZ86" s="25" t="str">
        <f t="shared" si="129"/>
        <v/>
      </c>
      <c r="BA86" s="25" t="str">
        <f t="shared" si="130"/>
        <v/>
      </c>
      <c r="BB86" s="25" t="str">
        <f t="shared" si="131"/>
        <v/>
      </c>
      <c r="BC86" s="25" t="str">
        <f t="shared" si="132"/>
        <v/>
      </c>
      <c r="BD86" s="25" t="str">
        <f t="shared" si="133"/>
        <v/>
      </c>
      <c r="BE86" s="25" t="str">
        <f t="shared" si="134"/>
        <v/>
      </c>
      <c r="BF86" s="25" t="str">
        <f t="shared" si="135"/>
        <v/>
      </c>
      <c r="BG86" s="25" t="str">
        <f t="shared" si="136"/>
        <v/>
      </c>
      <c r="BH86" s="25" t="str">
        <f t="shared" si="137"/>
        <v/>
      </c>
      <c r="BI86" s="6" t="str">
        <f t="shared" si="138"/>
        <v/>
      </c>
      <c r="BJ86" s="6" t="str">
        <f t="shared" si="139"/>
        <v/>
      </c>
      <c r="BK86" s="6" t="str">
        <f t="shared" si="140"/>
        <v/>
      </c>
      <c r="BL86" s="6" t="str">
        <f t="shared" si="141"/>
        <v/>
      </c>
      <c r="BM86" s="6" t="str">
        <f t="shared" si="142"/>
        <v/>
      </c>
      <c r="BN86" s="6" t="str">
        <f t="shared" si="143"/>
        <v/>
      </c>
      <c r="BO86" s="6" t="str">
        <f t="shared" si="144"/>
        <v/>
      </c>
      <c r="BP86" s="6" t="str">
        <f t="shared" si="145"/>
        <v/>
      </c>
      <c r="BQ86" s="6" t="str">
        <f t="shared" si="146"/>
        <v/>
      </c>
      <c r="BR86" s="6" t="str">
        <f t="shared" si="147"/>
        <v/>
      </c>
      <c r="BS86" s="6" t="str">
        <f t="shared" si="148"/>
        <v/>
      </c>
      <c r="BT86" s="6" t="str">
        <f t="shared" si="149"/>
        <v/>
      </c>
      <c r="BU86" s="6" t="str">
        <f t="shared" si="150"/>
        <v/>
      </c>
      <c r="BV86" s="6" t="str">
        <f t="shared" si="151"/>
        <v/>
      </c>
      <c r="BW86" s="6" t="str">
        <f t="shared" si="152"/>
        <v/>
      </c>
      <c r="BX86" s="6" t="str">
        <f t="shared" si="153"/>
        <v/>
      </c>
    </row>
    <row r="87" spans="3:76" ht="21">
      <c r="C87" s="25">
        <v>77</v>
      </c>
      <c r="D87" s="50"/>
      <c r="E87" s="50"/>
      <c r="F87" s="51" t="s">
        <v>8</v>
      </c>
      <c r="M87" s="25" t="str">
        <f t="shared" si="154"/>
        <v>19</v>
      </c>
      <c r="N87" s="25" t="str">
        <f t="shared" si="155"/>
        <v>11</v>
      </c>
      <c r="O87" s="25" t="str">
        <f t="shared" si="156"/>
        <v>1</v>
      </c>
      <c r="P87" s="25" t="str">
        <f t="shared" si="157"/>
        <v>4</v>
      </c>
      <c r="Q87" s="25" t="str">
        <f t="shared" si="158"/>
        <v>yellow</v>
      </c>
      <c r="R87" s="25" t="str">
        <f t="shared" si="159"/>
        <v>False</v>
      </c>
      <c r="S87" s="25"/>
      <c r="T87" s="25" t="str">
        <f t="shared" si="160"/>
        <v>True</v>
      </c>
      <c r="AA87" s="25" t="str">
        <f t="shared" si="105"/>
        <v/>
      </c>
      <c r="AB87" s="25" t="str">
        <f t="shared" si="106"/>
        <v/>
      </c>
      <c r="AD87" s="25" t="str">
        <f t="shared" si="107"/>
        <v/>
      </c>
      <c r="AE87" s="25" t="str">
        <f t="shared" si="108"/>
        <v/>
      </c>
      <c r="AF87" s="25" t="str">
        <f t="shared" si="109"/>
        <v/>
      </c>
      <c r="AG87" s="25" t="str">
        <f t="shared" si="110"/>
        <v/>
      </c>
      <c r="AH87" s="25" t="str">
        <f t="shared" si="111"/>
        <v/>
      </c>
      <c r="AI87" s="25" t="str">
        <f t="shared" si="112"/>
        <v/>
      </c>
      <c r="AJ87" s="25" t="str">
        <f t="shared" si="113"/>
        <v/>
      </c>
      <c r="AK87" s="25" t="str">
        <f t="shared" si="114"/>
        <v/>
      </c>
      <c r="AL87" s="25" t="str">
        <f t="shared" si="115"/>
        <v/>
      </c>
      <c r="AM87" s="25" t="str">
        <f t="shared" si="116"/>
        <v/>
      </c>
      <c r="AN87" s="25" t="str">
        <f t="shared" si="117"/>
        <v/>
      </c>
      <c r="AO87" s="25" t="str">
        <f t="shared" si="118"/>
        <v/>
      </c>
      <c r="AP87" s="25" t="str">
        <f t="shared" si="119"/>
        <v/>
      </c>
      <c r="AQ87" s="25" t="str">
        <f t="shared" si="120"/>
        <v/>
      </c>
      <c r="AR87" s="25" t="str">
        <f t="shared" si="121"/>
        <v/>
      </c>
      <c r="AS87" s="25" t="str">
        <f t="shared" si="122"/>
        <v/>
      </c>
      <c r="AT87" s="25" t="str">
        <f t="shared" si="123"/>
        <v/>
      </c>
      <c r="AU87" s="25" t="str">
        <f t="shared" si="124"/>
        <v/>
      </c>
      <c r="AV87" s="25" t="str">
        <f t="shared" si="125"/>
        <v/>
      </c>
      <c r="AW87" s="25" t="str">
        <f t="shared" si="126"/>
        <v/>
      </c>
      <c r="AX87" s="25" t="str">
        <f t="shared" si="127"/>
        <v/>
      </c>
      <c r="AY87" s="25" t="str">
        <f t="shared" si="128"/>
        <v/>
      </c>
      <c r="AZ87" s="25" t="str">
        <f t="shared" si="129"/>
        <v/>
      </c>
      <c r="BA87" s="25" t="str">
        <f t="shared" si="130"/>
        <v/>
      </c>
      <c r="BB87" s="25" t="str">
        <f t="shared" si="131"/>
        <v/>
      </c>
      <c r="BC87" s="25" t="str">
        <f t="shared" si="132"/>
        <v/>
      </c>
      <c r="BD87" s="25" t="str">
        <f t="shared" si="133"/>
        <v/>
      </c>
      <c r="BE87" s="25" t="str">
        <f t="shared" si="134"/>
        <v/>
      </c>
      <c r="BF87" s="25" t="str">
        <f t="shared" si="135"/>
        <v/>
      </c>
      <c r="BG87" s="25" t="str">
        <f t="shared" si="136"/>
        <v/>
      </c>
      <c r="BH87" s="25" t="str">
        <f t="shared" si="137"/>
        <v/>
      </c>
      <c r="BI87" s="6" t="str">
        <f t="shared" si="138"/>
        <v/>
      </c>
      <c r="BJ87" s="6" t="str">
        <f t="shared" si="139"/>
        <v/>
      </c>
      <c r="BK87" s="6" t="str">
        <f t="shared" si="140"/>
        <v/>
      </c>
      <c r="BL87" s="6" t="str">
        <f t="shared" si="141"/>
        <v/>
      </c>
      <c r="BM87" s="6" t="str">
        <f t="shared" si="142"/>
        <v/>
      </c>
      <c r="BN87" s="6" t="str">
        <f t="shared" si="143"/>
        <v/>
      </c>
      <c r="BO87" s="6" t="str">
        <f t="shared" si="144"/>
        <v/>
      </c>
      <c r="BP87" s="6" t="str">
        <f t="shared" si="145"/>
        <v/>
      </c>
      <c r="BQ87" s="6" t="str">
        <f t="shared" si="146"/>
        <v/>
      </c>
      <c r="BR87" s="6" t="str">
        <f t="shared" si="147"/>
        <v/>
      </c>
      <c r="BS87" s="6" t="str">
        <f t="shared" si="148"/>
        <v/>
      </c>
      <c r="BT87" s="6" t="str">
        <f t="shared" si="149"/>
        <v/>
      </c>
      <c r="BU87" s="6" t="str">
        <f t="shared" si="150"/>
        <v/>
      </c>
      <c r="BV87" s="6" t="str">
        <f t="shared" si="151"/>
        <v/>
      </c>
      <c r="BW87" s="6" t="str">
        <f t="shared" si="152"/>
        <v/>
      </c>
      <c r="BX87" s="6" t="str">
        <f t="shared" si="153"/>
        <v/>
      </c>
    </row>
    <row r="88" spans="3:76" ht="21">
      <c r="C88" s="25">
        <v>78</v>
      </c>
      <c r="D88" s="50"/>
      <c r="E88" s="50"/>
      <c r="F88" s="51" t="s">
        <v>8</v>
      </c>
      <c r="M88" s="25" t="str">
        <f t="shared" si="154"/>
        <v>19</v>
      </c>
      <c r="N88" s="25" t="str">
        <f t="shared" si="155"/>
        <v>11</v>
      </c>
      <c r="O88" s="25" t="str">
        <f t="shared" si="156"/>
        <v>1</v>
      </c>
      <c r="P88" s="25" t="str">
        <f t="shared" si="157"/>
        <v>4</v>
      </c>
      <c r="Q88" s="25" t="str">
        <f t="shared" si="158"/>
        <v>yellow</v>
      </c>
      <c r="R88" s="25" t="str">
        <f t="shared" si="159"/>
        <v>False</v>
      </c>
      <c r="S88" s="25"/>
      <c r="T88" s="25" t="str">
        <f t="shared" si="160"/>
        <v>True</v>
      </c>
      <c r="AA88" s="25" t="str">
        <f t="shared" si="105"/>
        <v/>
      </c>
      <c r="AB88" s="25" t="str">
        <f t="shared" si="106"/>
        <v/>
      </c>
      <c r="AD88" s="25" t="str">
        <f t="shared" si="107"/>
        <v/>
      </c>
      <c r="AE88" s="25" t="str">
        <f t="shared" si="108"/>
        <v/>
      </c>
      <c r="AF88" s="25" t="str">
        <f t="shared" si="109"/>
        <v/>
      </c>
      <c r="AG88" s="25" t="str">
        <f t="shared" si="110"/>
        <v/>
      </c>
      <c r="AH88" s="25" t="str">
        <f t="shared" si="111"/>
        <v/>
      </c>
      <c r="AI88" s="25" t="str">
        <f t="shared" si="112"/>
        <v/>
      </c>
      <c r="AJ88" s="25" t="str">
        <f t="shared" si="113"/>
        <v/>
      </c>
      <c r="AK88" s="25" t="str">
        <f t="shared" si="114"/>
        <v/>
      </c>
      <c r="AL88" s="25" t="str">
        <f t="shared" si="115"/>
        <v/>
      </c>
      <c r="AM88" s="25" t="str">
        <f t="shared" si="116"/>
        <v/>
      </c>
      <c r="AN88" s="25" t="str">
        <f t="shared" si="117"/>
        <v/>
      </c>
      <c r="AO88" s="25" t="str">
        <f t="shared" si="118"/>
        <v/>
      </c>
      <c r="AP88" s="25" t="str">
        <f t="shared" si="119"/>
        <v/>
      </c>
      <c r="AQ88" s="25" t="str">
        <f t="shared" si="120"/>
        <v/>
      </c>
      <c r="AR88" s="25" t="str">
        <f t="shared" si="121"/>
        <v/>
      </c>
      <c r="AS88" s="25" t="str">
        <f t="shared" si="122"/>
        <v/>
      </c>
      <c r="AT88" s="25" t="str">
        <f t="shared" si="123"/>
        <v/>
      </c>
      <c r="AU88" s="25" t="str">
        <f t="shared" si="124"/>
        <v/>
      </c>
      <c r="AV88" s="25" t="str">
        <f t="shared" si="125"/>
        <v/>
      </c>
      <c r="AW88" s="25" t="str">
        <f t="shared" si="126"/>
        <v/>
      </c>
      <c r="AX88" s="25" t="str">
        <f t="shared" si="127"/>
        <v/>
      </c>
      <c r="AY88" s="25" t="str">
        <f t="shared" si="128"/>
        <v/>
      </c>
      <c r="AZ88" s="25" t="str">
        <f t="shared" si="129"/>
        <v/>
      </c>
      <c r="BA88" s="25" t="str">
        <f t="shared" si="130"/>
        <v/>
      </c>
      <c r="BB88" s="25" t="str">
        <f t="shared" si="131"/>
        <v/>
      </c>
      <c r="BC88" s="25" t="str">
        <f t="shared" si="132"/>
        <v/>
      </c>
      <c r="BD88" s="25" t="str">
        <f t="shared" si="133"/>
        <v/>
      </c>
      <c r="BE88" s="25" t="str">
        <f t="shared" si="134"/>
        <v/>
      </c>
      <c r="BF88" s="25" t="str">
        <f t="shared" si="135"/>
        <v/>
      </c>
      <c r="BG88" s="25" t="str">
        <f t="shared" si="136"/>
        <v/>
      </c>
      <c r="BH88" s="25" t="str">
        <f t="shared" si="137"/>
        <v/>
      </c>
      <c r="BI88" s="6" t="str">
        <f t="shared" si="138"/>
        <v/>
      </c>
      <c r="BJ88" s="6" t="str">
        <f t="shared" si="139"/>
        <v/>
      </c>
      <c r="BK88" s="6" t="str">
        <f t="shared" si="140"/>
        <v/>
      </c>
      <c r="BL88" s="6" t="str">
        <f t="shared" si="141"/>
        <v/>
      </c>
      <c r="BM88" s="6" t="str">
        <f t="shared" si="142"/>
        <v/>
      </c>
      <c r="BN88" s="6" t="str">
        <f t="shared" si="143"/>
        <v/>
      </c>
      <c r="BO88" s="6" t="str">
        <f t="shared" si="144"/>
        <v/>
      </c>
      <c r="BP88" s="6" t="str">
        <f t="shared" si="145"/>
        <v/>
      </c>
      <c r="BQ88" s="6" t="str">
        <f t="shared" si="146"/>
        <v/>
      </c>
      <c r="BR88" s="6" t="str">
        <f t="shared" si="147"/>
        <v/>
      </c>
      <c r="BS88" s="6" t="str">
        <f t="shared" si="148"/>
        <v/>
      </c>
      <c r="BT88" s="6" t="str">
        <f t="shared" si="149"/>
        <v/>
      </c>
      <c r="BU88" s="6" t="str">
        <f t="shared" si="150"/>
        <v/>
      </c>
      <c r="BV88" s="6" t="str">
        <f t="shared" si="151"/>
        <v/>
      </c>
      <c r="BW88" s="6" t="str">
        <f t="shared" si="152"/>
        <v/>
      </c>
      <c r="BX88" s="6" t="str">
        <f t="shared" si="153"/>
        <v/>
      </c>
    </row>
    <row r="89" spans="3:76" ht="21">
      <c r="C89" s="25">
        <v>79</v>
      </c>
      <c r="D89" s="50"/>
      <c r="E89" s="50"/>
      <c r="F89" s="51" t="s">
        <v>8</v>
      </c>
      <c r="M89" s="25" t="str">
        <f t="shared" si="154"/>
        <v>19</v>
      </c>
      <c r="N89" s="25" t="str">
        <f t="shared" si="155"/>
        <v>11</v>
      </c>
      <c r="O89" s="25" t="str">
        <f t="shared" si="156"/>
        <v>1</v>
      </c>
      <c r="P89" s="25" t="str">
        <f t="shared" si="157"/>
        <v>4</v>
      </c>
      <c r="Q89" s="25" t="str">
        <f t="shared" si="158"/>
        <v>yellow</v>
      </c>
      <c r="R89" s="25" t="str">
        <f t="shared" si="159"/>
        <v>False</v>
      </c>
      <c r="S89" s="25"/>
      <c r="T89" s="25" t="str">
        <f t="shared" si="160"/>
        <v>True</v>
      </c>
      <c r="AA89" s="25" t="str">
        <f t="shared" si="105"/>
        <v/>
      </c>
      <c r="AB89" s="25" t="str">
        <f t="shared" si="106"/>
        <v/>
      </c>
      <c r="AD89" s="25" t="str">
        <f t="shared" si="107"/>
        <v/>
      </c>
      <c r="AE89" s="25" t="str">
        <f t="shared" si="108"/>
        <v/>
      </c>
      <c r="AF89" s="25" t="str">
        <f t="shared" si="109"/>
        <v/>
      </c>
      <c r="AG89" s="25" t="str">
        <f t="shared" si="110"/>
        <v/>
      </c>
      <c r="AH89" s="25" t="str">
        <f t="shared" si="111"/>
        <v/>
      </c>
      <c r="AI89" s="25" t="str">
        <f t="shared" si="112"/>
        <v/>
      </c>
      <c r="AJ89" s="25" t="str">
        <f t="shared" si="113"/>
        <v/>
      </c>
      <c r="AK89" s="25" t="str">
        <f t="shared" si="114"/>
        <v/>
      </c>
      <c r="AL89" s="25" t="str">
        <f t="shared" si="115"/>
        <v/>
      </c>
      <c r="AM89" s="25" t="str">
        <f t="shared" si="116"/>
        <v/>
      </c>
      <c r="AN89" s="25" t="str">
        <f t="shared" si="117"/>
        <v/>
      </c>
      <c r="AO89" s="25" t="str">
        <f t="shared" si="118"/>
        <v/>
      </c>
      <c r="AP89" s="25" t="str">
        <f t="shared" si="119"/>
        <v/>
      </c>
      <c r="AQ89" s="25" t="str">
        <f t="shared" si="120"/>
        <v/>
      </c>
      <c r="AR89" s="25" t="str">
        <f t="shared" si="121"/>
        <v/>
      </c>
      <c r="AS89" s="25" t="str">
        <f t="shared" si="122"/>
        <v/>
      </c>
      <c r="AT89" s="25" t="str">
        <f t="shared" si="123"/>
        <v/>
      </c>
      <c r="AU89" s="25" t="str">
        <f t="shared" si="124"/>
        <v/>
      </c>
      <c r="AV89" s="25" t="str">
        <f t="shared" si="125"/>
        <v/>
      </c>
      <c r="AW89" s="25" t="str">
        <f t="shared" si="126"/>
        <v/>
      </c>
      <c r="AX89" s="25" t="str">
        <f t="shared" si="127"/>
        <v/>
      </c>
      <c r="AY89" s="25" t="str">
        <f t="shared" si="128"/>
        <v/>
      </c>
      <c r="AZ89" s="25" t="str">
        <f t="shared" si="129"/>
        <v/>
      </c>
      <c r="BA89" s="25" t="str">
        <f t="shared" si="130"/>
        <v/>
      </c>
      <c r="BB89" s="25" t="str">
        <f t="shared" si="131"/>
        <v/>
      </c>
      <c r="BC89" s="25" t="str">
        <f t="shared" si="132"/>
        <v/>
      </c>
      <c r="BD89" s="25" t="str">
        <f t="shared" si="133"/>
        <v/>
      </c>
      <c r="BE89" s="25" t="str">
        <f t="shared" si="134"/>
        <v/>
      </c>
      <c r="BF89" s="25" t="str">
        <f t="shared" si="135"/>
        <v/>
      </c>
      <c r="BG89" s="25" t="str">
        <f t="shared" si="136"/>
        <v/>
      </c>
      <c r="BH89" s="25" t="str">
        <f t="shared" si="137"/>
        <v/>
      </c>
      <c r="BI89" s="6" t="str">
        <f t="shared" si="138"/>
        <v/>
      </c>
      <c r="BJ89" s="6" t="str">
        <f t="shared" si="139"/>
        <v/>
      </c>
      <c r="BK89" s="6" t="str">
        <f t="shared" si="140"/>
        <v/>
      </c>
      <c r="BL89" s="6" t="str">
        <f t="shared" si="141"/>
        <v/>
      </c>
      <c r="BM89" s="6" t="str">
        <f t="shared" si="142"/>
        <v/>
      </c>
      <c r="BN89" s="6" t="str">
        <f t="shared" si="143"/>
        <v/>
      </c>
      <c r="BO89" s="6" t="str">
        <f t="shared" si="144"/>
        <v/>
      </c>
      <c r="BP89" s="6" t="str">
        <f t="shared" si="145"/>
        <v/>
      </c>
      <c r="BQ89" s="6" t="str">
        <f t="shared" si="146"/>
        <v/>
      </c>
      <c r="BR89" s="6" t="str">
        <f t="shared" si="147"/>
        <v/>
      </c>
      <c r="BS89" s="6" t="str">
        <f t="shared" si="148"/>
        <v/>
      </c>
      <c r="BT89" s="6" t="str">
        <f t="shared" si="149"/>
        <v/>
      </c>
      <c r="BU89" s="6" t="str">
        <f t="shared" si="150"/>
        <v/>
      </c>
      <c r="BV89" s="6" t="str">
        <f t="shared" si="151"/>
        <v/>
      </c>
      <c r="BW89" s="6" t="str">
        <f t="shared" si="152"/>
        <v/>
      </c>
      <c r="BX89" s="6" t="str">
        <f t="shared" si="153"/>
        <v/>
      </c>
    </row>
    <row r="90" spans="3:76" ht="21">
      <c r="C90" s="25">
        <v>80</v>
      </c>
      <c r="D90" s="50"/>
      <c r="E90" s="50"/>
      <c r="F90" s="51" t="s">
        <v>8</v>
      </c>
      <c r="M90" s="25" t="str">
        <f t="shared" si="154"/>
        <v>19</v>
      </c>
      <c r="N90" s="25" t="str">
        <f t="shared" si="155"/>
        <v>11</v>
      </c>
      <c r="O90" s="25" t="str">
        <f t="shared" si="156"/>
        <v>1</v>
      </c>
      <c r="P90" s="25" t="str">
        <f t="shared" si="157"/>
        <v>4</v>
      </c>
      <c r="Q90" s="25" t="str">
        <f t="shared" si="158"/>
        <v>yellow</v>
      </c>
      <c r="R90" s="25" t="str">
        <f t="shared" si="159"/>
        <v>False</v>
      </c>
      <c r="S90" s="25"/>
      <c r="T90" s="25" t="str">
        <f t="shared" si="160"/>
        <v>True</v>
      </c>
      <c r="AA90" s="25" t="str">
        <f t="shared" si="105"/>
        <v/>
      </c>
      <c r="AB90" s="25" t="str">
        <f t="shared" si="106"/>
        <v/>
      </c>
      <c r="AD90" s="25" t="str">
        <f t="shared" si="107"/>
        <v/>
      </c>
      <c r="AE90" s="25" t="str">
        <f t="shared" si="108"/>
        <v/>
      </c>
      <c r="AF90" s="25" t="str">
        <f t="shared" si="109"/>
        <v/>
      </c>
      <c r="AG90" s="25" t="str">
        <f t="shared" si="110"/>
        <v/>
      </c>
      <c r="AH90" s="25" t="str">
        <f t="shared" si="111"/>
        <v/>
      </c>
      <c r="AI90" s="25" t="str">
        <f t="shared" si="112"/>
        <v/>
      </c>
      <c r="AJ90" s="25" t="str">
        <f t="shared" si="113"/>
        <v/>
      </c>
      <c r="AK90" s="25" t="str">
        <f t="shared" si="114"/>
        <v/>
      </c>
      <c r="AL90" s="25" t="str">
        <f t="shared" si="115"/>
        <v/>
      </c>
      <c r="AM90" s="25" t="str">
        <f t="shared" si="116"/>
        <v/>
      </c>
      <c r="AN90" s="25" t="str">
        <f t="shared" si="117"/>
        <v/>
      </c>
      <c r="AO90" s="25" t="str">
        <f t="shared" si="118"/>
        <v/>
      </c>
      <c r="AP90" s="25" t="str">
        <f t="shared" si="119"/>
        <v/>
      </c>
      <c r="AQ90" s="25" t="str">
        <f t="shared" si="120"/>
        <v/>
      </c>
      <c r="AR90" s="25" t="str">
        <f t="shared" si="121"/>
        <v/>
      </c>
      <c r="AS90" s="25" t="str">
        <f t="shared" si="122"/>
        <v/>
      </c>
      <c r="AT90" s="25" t="str">
        <f t="shared" si="123"/>
        <v/>
      </c>
      <c r="AU90" s="25" t="str">
        <f t="shared" si="124"/>
        <v/>
      </c>
      <c r="AV90" s="25" t="str">
        <f t="shared" si="125"/>
        <v/>
      </c>
      <c r="AW90" s="25" t="str">
        <f t="shared" si="126"/>
        <v/>
      </c>
      <c r="AX90" s="25" t="str">
        <f t="shared" si="127"/>
        <v/>
      </c>
      <c r="AY90" s="25" t="str">
        <f t="shared" si="128"/>
        <v/>
      </c>
      <c r="AZ90" s="25" t="str">
        <f t="shared" si="129"/>
        <v/>
      </c>
      <c r="BA90" s="25" t="str">
        <f t="shared" si="130"/>
        <v/>
      </c>
      <c r="BB90" s="25" t="str">
        <f t="shared" si="131"/>
        <v/>
      </c>
      <c r="BC90" s="25" t="str">
        <f t="shared" si="132"/>
        <v/>
      </c>
      <c r="BD90" s="25" t="str">
        <f t="shared" si="133"/>
        <v/>
      </c>
      <c r="BE90" s="25" t="str">
        <f t="shared" si="134"/>
        <v/>
      </c>
      <c r="BF90" s="25" t="str">
        <f t="shared" si="135"/>
        <v/>
      </c>
      <c r="BG90" s="25" t="str">
        <f t="shared" si="136"/>
        <v/>
      </c>
      <c r="BH90" s="25" t="str">
        <f t="shared" si="137"/>
        <v/>
      </c>
      <c r="BI90" s="6" t="str">
        <f t="shared" si="138"/>
        <v/>
      </c>
      <c r="BJ90" s="6" t="str">
        <f t="shared" si="139"/>
        <v/>
      </c>
      <c r="BK90" s="6" t="str">
        <f t="shared" si="140"/>
        <v/>
      </c>
      <c r="BL90" s="6" t="str">
        <f t="shared" si="141"/>
        <v/>
      </c>
      <c r="BM90" s="6" t="str">
        <f t="shared" si="142"/>
        <v/>
      </c>
      <c r="BN90" s="6" t="str">
        <f t="shared" si="143"/>
        <v/>
      </c>
      <c r="BO90" s="6" t="str">
        <f t="shared" si="144"/>
        <v/>
      </c>
      <c r="BP90" s="6" t="str">
        <f t="shared" si="145"/>
        <v/>
      </c>
      <c r="BQ90" s="6" t="str">
        <f t="shared" si="146"/>
        <v/>
      </c>
      <c r="BR90" s="6" t="str">
        <f t="shared" si="147"/>
        <v/>
      </c>
      <c r="BS90" s="6" t="str">
        <f t="shared" si="148"/>
        <v/>
      </c>
      <c r="BT90" s="6" t="str">
        <f t="shared" si="149"/>
        <v/>
      </c>
      <c r="BU90" s="6" t="str">
        <f t="shared" si="150"/>
        <v/>
      </c>
      <c r="BV90" s="6" t="str">
        <f t="shared" si="151"/>
        <v/>
      </c>
      <c r="BW90" s="6" t="str">
        <f t="shared" si="152"/>
        <v/>
      </c>
      <c r="BX90" s="6" t="str">
        <f t="shared" si="153"/>
        <v/>
      </c>
    </row>
    <row r="91" spans="3:76" ht="21">
      <c r="C91" s="25">
        <v>81</v>
      </c>
      <c r="D91" s="50"/>
      <c r="E91" s="50"/>
      <c r="F91" s="51" t="s">
        <v>8</v>
      </c>
      <c r="M91" s="25" t="str">
        <f t="shared" si="154"/>
        <v>19</v>
      </c>
      <c r="N91" s="25" t="str">
        <f t="shared" si="155"/>
        <v>11</v>
      </c>
      <c r="O91" s="25" t="str">
        <f t="shared" si="156"/>
        <v>1</v>
      </c>
      <c r="P91" s="25" t="str">
        <f t="shared" si="157"/>
        <v>4</v>
      </c>
      <c r="Q91" s="25" t="str">
        <f t="shared" si="158"/>
        <v>yellow</v>
      </c>
      <c r="R91" s="25" t="str">
        <f t="shared" si="159"/>
        <v>False</v>
      </c>
      <c r="S91" s="25"/>
      <c r="T91" s="25" t="str">
        <f t="shared" si="160"/>
        <v>True</v>
      </c>
      <c r="AA91" s="25" t="str">
        <f t="shared" si="105"/>
        <v/>
      </c>
      <c r="AB91" s="25" t="str">
        <f t="shared" si="106"/>
        <v/>
      </c>
      <c r="AD91" s="25" t="str">
        <f t="shared" si="107"/>
        <v/>
      </c>
      <c r="AE91" s="25" t="str">
        <f t="shared" si="108"/>
        <v/>
      </c>
      <c r="AF91" s="25" t="str">
        <f t="shared" si="109"/>
        <v/>
      </c>
      <c r="AG91" s="25" t="str">
        <f t="shared" si="110"/>
        <v/>
      </c>
      <c r="AH91" s="25" t="str">
        <f t="shared" si="111"/>
        <v/>
      </c>
      <c r="AI91" s="25" t="str">
        <f t="shared" si="112"/>
        <v/>
      </c>
      <c r="AJ91" s="25" t="str">
        <f t="shared" si="113"/>
        <v/>
      </c>
      <c r="AK91" s="25" t="str">
        <f t="shared" si="114"/>
        <v/>
      </c>
      <c r="AL91" s="25" t="str">
        <f t="shared" si="115"/>
        <v/>
      </c>
      <c r="AM91" s="25" t="str">
        <f t="shared" si="116"/>
        <v/>
      </c>
      <c r="AN91" s="25" t="str">
        <f t="shared" si="117"/>
        <v/>
      </c>
      <c r="AO91" s="25" t="str">
        <f t="shared" si="118"/>
        <v/>
      </c>
      <c r="AP91" s="25" t="str">
        <f t="shared" si="119"/>
        <v/>
      </c>
      <c r="AQ91" s="25" t="str">
        <f t="shared" si="120"/>
        <v/>
      </c>
      <c r="AR91" s="25" t="str">
        <f t="shared" si="121"/>
        <v/>
      </c>
      <c r="AS91" s="25" t="str">
        <f t="shared" si="122"/>
        <v/>
      </c>
      <c r="AT91" s="25" t="str">
        <f t="shared" si="123"/>
        <v/>
      </c>
      <c r="AU91" s="25" t="str">
        <f t="shared" si="124"/>
        <v/>
      </c>
      <c r="AV91" s="25" t="str">
        <f t="shared" si="125"/>
        <v/>
      </c>
      <c r="AW91" s="25" t="str">
        <f t="shared" si="126"/>
        <v/>
      </c>
      <c r="AX91" s="25" t="str">
        <f t="shared" si="127"/>
        <v/>
      </c>
      <c r="AY91" s="25" t="str">
        <f t="shared" si="128"/>
        <v/>
      </c>
      <c r="AZ91" s="25" t="str">
        <f t="shared" si="129"/>
        <v/>
      </c>
      <c r="BA91" s="25" t="str">
        <f t="shared" si="130"/>
        <v/>
      </c>
      <c r="BB91" s="25" t="str">
        <f t="shared" si="131"/>
        <v/>
      </c>
      <c r="BC91" s="25" t="str">
        <f t="shared" si="132"/>
        <v/>
      </c>
      <c r="BD91" s="25" t="str">
        <f t="shared" si="133"/>
        <v/>
      </c>
      <c r="BE91" s="25" t="str">
        <f t="shared" si="134"/>
        <v/>
      </c>
      <c r="BF91" s="25" t="str">
        <f t="shared" si="135"/>
        <v/>
      </c>
      <c r="BG91" s="25" t="str">
        <f t="shared" si="136"/>
        <v/>
      </c>
      <c r="BH91" s="25" t="str">
        <f t="shared" si="137"/>
        <v/>
      </c>
      <c r="BI91" s="6" t="str">
        <f t="shared" si="138"/>
        <v/>
      </c>
      <c r="BJ91" s="6" t="str">
        <f t="shared" si="139"/>
        <v/>
      </c>
      <c r="BK91" s="6" t="str">
        <f t="shared" si="140"/>
        <v/>
      </c>
      <c r="BL91" s="6" t="str">
        <f t="shared" si="141"/>
        <v/>
      </c>
      <c r="BM91" s="6" t="str">
        <f t="shared" si="142"/>
        <v/>
      </c>
      <c r="BN91" s="6" t="str">
        <f t="shared" si="143"/>
        <v/>
      </c>
      <c r="BO91" s="6" t="str">
        <f t="shared" si="144"/>
        <v/>
      </c>
      <c r="BP91" s="6" t="str">
        <f t="shared" si="145"/>
        <v/>
      </c>
      <c r="BQ91" s="6" t="str">
        <f t="shared" si="146"/>
        <v/>
      </c>
      <c r="BR91" s="6" t="str">
        <f t="shared" si="147"/>
        <v/>
      </c>
      <c r="BS91" s="6" t="str">
        <f t="shared" si="148"/>
        <v/>
      </c>
      <c r="BT91" s="6" t="str">
        <f t="shared" si="149"/>
        <v/>
      </c>
      <c r="BU91" s="6" t="str">
        <f t="shared" si="150"/>
        <v/>
      </c>
      <c r="BV91" s="6" t="str">
        <f t="shared" si="151"/>
        <v/>
      </c>
      <c r="BW91" s="6" t="str">
        <f t="shared" si="152"/>
        <v/>
      </c>
      <c r="BX91" s="6" t="str">
        <f t="shared" si="153"/>
        <v/>
      </c>
    </row>
    <row r="92" spans="3:76" ht="21">
      <c r="C92" s="25">
        <v>82</v>
      </c>
      <c r="D92" s="50"/>
      <c r="E92" s="50"/>
      <c r="F92" s="51" t="s">
        <v>8</v>
      </c>
      <c r="M92" s="25" t="str">
        <f t="shared" si="154"/>
        <v>19</v>
      </c>
      <c r="N92" s="25" t="str">
        <f t="shared" si="155"/>
        <v>11</v>
      </c>
      <c r="O92" s="25" t="str">
        <f t="shared" si="156"/>
        <v>1</v>
      </c>
      <c r="P92" s="25" t="str">
        <f t="shared" si="157"/>
        <v>4</v>
      </c>
      <c r="Q92" s="25" t="str">
        <f t="shared" si="158"/>
        <v>yellow</v>
      </c>
      <c r="R92" s="25" t="str">
        <f t="shared" si="159"/>
        <v>False</v>
      </c>
      <c r="S92" s="25"/>
      <c r="T92" s="25" t="str">
        <f t="shared" si="160"/>
        <v>True</v>
      </c>
      <c r="AA92" s="25" t="str">
        <f t="shared" si="105"/>
        <v/>
      </c>
      <c r="AB92" s="25" t="str">
        <f t="shared" si="106"/>
        <v/>
      </c>
      <c r="AD92" s="25" t="str">
        <f t="shared" si="107"/>
        <v/>
      </c>
      <c r="AE92" s="25" t="str">
        <f t="shared" si="108"/>
        <v/>
      </c>
      <c r="AF92" s="25" t="str">
        <f t="shared" si="109"/>
        <v/>
      </c>
      <c r="AG92" s="25" t="str">
        <f t="shared" si="110"/>
        <v/>
      </c>
      <c r="AH92" s="25" t="str">
        <f t="shared" si="111"/>
        <v/>
      </c>
      <c r="AI92" s="25" t="str">
        <f t="shared" si="112"/>
        <v/>
      </c>
      <c r="AJ92" s="25" t="str">
        <f t="shared" si="113"/>
        <v/>
      </c>
      <c r="AK92" s="25" t="str">
        <f t="shared" si="114"/>
        <v/>
      </c>
      <c r="AL92" s="25" t="str">
        <f t="shared" si="115"/>
        <v/>
      </c>
      <c r="AM92" s="25" t="str">
        <f t="shared" si="116"/>
        <v/>
      </c>
      <c r="AN92" s="25" t="str">
        <f t="shared" si="117"/>
        <v/>
      </c>
      <c r="AO92" s="25" t="str">
        <f t="shared" si="118"/>
        <v/>
      </c>
      <c r="AP92" s="25" t="str">
        <f t="shared" si="119"/>
        <v/>
      </c>
      <c r="AQ92" s="25" t="str">
        <f t="shared" si="120"/>
        <v/>
      </c>
      <c r="AR92" s="25" t="str">
        <f t="shared" si="121"/>
        <v/>
      </c>
      <c r="AS92" s="25" t="str">
        <f t="shared" si="122"/>
        <v/>
      </c>
      <c r="AT92" s="25" t="str">
        <f t="shared" si="123"/>
        <v/>
      </c>
      <c r="AU92" s="25" t="str">
        <f t="shared" si="124"/>
        <v/>
      </c>
      <c r="AV92" s="25" t="str">
        <f t="shared" si="125"/>
        <v/>
      </c>
      <c r="AW92" s="25" t="str">
        <f t="shared" si="126"/>
        <v/>
      </c>
      <c r="AX92" s="25" t="str">
        <f t="shared" si="127"/>
        <v/>
      </c>
      <c r="AY92" s="25" t="str">
        <f t="shared" si="128"/>
        <v/>
      </c>
      <c r="AZ92" s="25" t="str">
        <f t="shared" si="129"/>
        <v/>
      </c>
      <c r="BA92" s="25" t="str">
        <f t="shared" si="130"/>
        <v/>
      </c>
      <c r="BB92" s="25" t="str">
        <f t="shared" si="131"/>
        <v/>
      </c>
      <c r="BC92" s="25" t="str">
        <f t="shared" si="132"/>
        <v/>
      </c>
      <c r="BD92" s="25" t="str">
        <f t="shared" si="133"/>
        <v/>
      </c>
      <c r="BE92" s="25" t="str">
        <f t="shared" si="134"/>
        <v/>
      </c>
      <c r="BF92" s="25" t="str">
        <f t="shared" si="135"/>
        <v/>
      </c>
      <c r="BG92" s="25" t="str">
        <f t="shared" si="136"/>
        <v/>
      </c>
      <c r="BH92" s="25" t="str">
        <f t="shared" si="137"/>
        <v/>
      </c>
      <c r="BI92" s="6" t="str">
        <f t="shared" si="138"/>
        <v/>
      </c>
      <c r="BJ92" s="6" t="str">
        <f t="shared" si="139"/>
        <v/>
      </c>
      <c r="BK92" s="6" t="str">
        <f t="shared" si="140"/>
        <v/>
      </c>
      <c r="BL92" s="6" t="str">
        <f t="shared" si="141"/>
        <v/>
      </c>
      <c r="BM92" s="6" t="str">
        <f t="shared" si="142"/>
        <v/>
      </c>
      <c r="BN92" s="6" t="str">
        <f t="shared" si="143"/>
        <v/>
      </c>
      <c r="BO92" s="6" t="str">
        <f t="shared" si="144"/>
        <v/>
      </c>
      <c r="BP92" s="6" t="str">
        <f t="shared" si="145"/>
        <v/>
      </c>
      <c r="BQ92" s="6" t="str">
        <f t="shared" si="146"/>
        <v/>
      </c>
      <c r="BR92" s="6" t="str">
        <f t="shared" si="147"/>
        <v/>
      </c>
      <c r="BS92" s="6" t="str">
        <f t="shared" si="148"/>
        <v/>
      </c>
      <c r="BT92" s="6" t="str">
        <f t="shared" si="149"/>
        <v/>
      </c>
      <c r="BU92" s="6" t="str">
        <f t="shared" si="150"/>
        <v/>
      </c>
      <c r="BV92" s="6" t="str">
        <f t="shared" si="151"/>
        <v/>
      </c>
      <c r="BW92" s="6" t="str">
        <f t="shared" si="152"/>
        <v/>
      </c>
      <c r="BX92" s="6" t="str">
        <f t="shared" si="153"/>
        <v/>
      </c>
    </row>
    <row r="93" spans="3:76" ht="21">
      <c r="C93" s="25">
        <v>83</v>
      </c>
      <c r="D93" s="50"/>
      <c r="E93" s="50"/>
      <c r="F93" s="51" t="s">
        <v>8</v>
      </c>
      <c r="M93" s="25" t="str">
        <f t="shared" si="154"/>
        <v>19</v>
      </c>
      <c r="N93" s="25" t="str">
        <f t="shared" si="155"/>
        <v>11</v>
      </c>
      <c r="O93" s="25" t="str">
        <f t="shared" si="156"/>
        <v>1</v>
      </c>
      <c r="P93" s="25" t="str">
        <f t="shared" si="157"/>
        <v>4</v>
      </c>
      <c r="Q93" s="25" t="str">
        <f t="shared" si="158"/>
        <v>yellow</v>
      </c>
      <c r="R93" s="25" t="str">
        <f t="shared" si="159"/>
        <v>False</v>
      </c>
      <c r="S93" s="25"/>
      <c r="T93" s="25" t="str">
        <f t="shared" si="160"/>
        <v>True</v>
      </c>
      <c r="AA93" s="25" t="str">
        <f t="shared" si="105"/>
        <v/>
      </c>
      <c r="AB93" s="25" t="str">
        <f t="shared" si="106"/>
        <v/>
      </c>
      <c r="AD93" s="25" t="str">
        <f t="shared" si="107"/>
        <v/>
      </c>
      <c r="AE93" s="25" t="str">
        <f t="shared" si="108"/>
        <v/>
      </c>
      <c r="AF93" s="25" t="str">
        <f t="shared" si="109"/>
        <v/>
      </c>
      <c r="AG93" s="25" t="str">
        <f t="shared" si="110"/>
        <v/>
      </c>
      <c r="AH93" s="25" t="str">
        <f t="shared" si="111"/>
        <v/>
      </c>
      <c r="AI93" s="25" t="str">
        <f t="shared" si="112"/>
        <v/>
      </c>
      <c r="AJ93" s="25" t="str">
        <f t="shared" si="113"/>
        <v/>
      </c>
      <c r="AK93" s="25" t="str">
        <f t="shared" si="114"/>
        <v/>
      </c>
      <c r="AL93" s="25" t="str">
        <f t="shared" si="115"/>
        <v/>
      </c>
      <c r="AM93" s="25" t="str">
        <f t="shared" si="116"/>
        <v/>
      </c>
      <c r="AN93" s="25" t="str">
        <f t="shared" si="117"/>
        <v/>
      </c>
      <c r="AO93" s="25" t="str">
        <f t="shared" si="118"/>
        <v/>
      </c>
      <c r="AP93" s="25" t="str">
        <f t="shared" si="119"/>
        <v/>
      </c>
      <c r="AQ93" s="25" t="str">
        <f t="shared" si="120"/>
        <v/>
      </c>
      <c r="AR93" s="25" t="str">
        <f t="shared" si="121"/>
        <v/>
      </c>
      <c r="AS93" s="25" t="str">
        <f t="shared" si="122"/>
        <v/>
      </c>
      <c r="AT93" s="25" t="str">
        <f t="shared" si="123"/>
        <v/>
      </c>
      <c r="AU93" s="25" t="str">
        <f t="shared" si="124"/>
        <v/>
      </c>
      <c r="AV93" s="25" t="str">
        <f t="shared" si="125"/>
        <v/>
      </c>
      <c r="AW93" s="25" t="str">
        <f t="shared" si="126"/>
        <v/>
      </c>
      <c r="AX93" s="25" t="str">
        <f t="shared" si="127"/>
        <v/>
      </c>
      <c r="AY93" s="25" t="str">
        <f t="shared" si="128"/>
        <v/>
      </c>
      <c r="AZ93" s="25" t="str">
        <f t="shared" si="129"/>
        <v/>
      </c>
      <c r="BA93" s="25" t="str">
        <f t="shared" si="130"/>
        <v/>
      </c>
      <c r="BB93" s="25" t="str">
        <f t="shared" si="131"/>
        <v/>
      </c>
      <c r="BC93" s="25" t="str">
        <f t="shared" si="132"/>
        <v/>
      </c>
      <c r="BD93" s="25" t="str">
        <f t="shared" si="133"/>
        <v/>
      </c>
      <c r="BE93" s="25" t="str">
        <f t="shared" si="134"/>
        <v/>
      </c>
      <c r="BF93" s="25" t="str">
        <f t="shared" si="135"/>
        <v/>
      </c>
      <c r="BG93" s="25" t="str">
        <f t="shared" si="136"/>
        <v/>
      </c>
      <c r="BH93" s="25" t="str">
        <f t="shared" si="137"/>
        <v/>
      </c>
      <c r="BI93" s="6" t="str">
        <f t="shared" si="138"/>
        <v/>
      </c>
      <c r="BJ93" s="6" t="str">
        <f t="shared" si="139"/>
        <v/>
      </c>
      <c r="BK93" s="6" t="str">
        <f t="shared" si="140"/>
        <v/>
      </c>
      <c r="BL93" s="6" t="str">
        <f t="shared" si="141"/>
        <v/>
      </c>
      <c r="BM93" s="6" t="str">
        <f t="shared" si="142"/>
        <v/>
      </c>
      <c r="BN93" s="6" t="str">
        <f t="shared" si="143"/>
        <v/>
      </c>
      <c r="BO93" s="6" t="str">
        <f t="shared" si="144"/>
        <v/>
      </c>
      <c r="BP93" s="6" t="str">
        <f t="shared" si="145"/>
        <v/>
      </c>
      <c r="BQ93" s="6" t="str">
        <f t="shared" si="146"/>
        <v/>
      </c>
      <c r="BR93" s="6" t="str">
        <f t="shared" si="147"/>
        <v/>
      </c>
      <c r="BS93" s="6" t="str">
        <f t="shared" si="148"/>
        <v/>
      </c>
      <c r="BT93" s="6" t="str">
        <f t="shared" si="149"/>
        <v/>
      </c>
      <c r="BU93" s="6" t="str">
        <f t="shared" si="150"/>
        <v/>
      </c>
      <c r="BV93" s="6" t="str">
        <f t="shared" si="151"/>
        <v/>
      </c>
      <c r="BW93" s="6" t="str">
        <f t="shared" si="152"/>
        <v/>
      </c>
      <c r="BX93" s="6" t="str">
        <f t="shared" si="153"/>
        <v/>
      </c>
    </row>
    <row r="94" spans="3:76" ht="21">
      <c r="C94" s="25">
        <v>84</v>
      </c>
      <c r="D94" s="50"/>
      <c r="E94" s="50"/>
      <c r="F94" s="51" t="s">
        <v>8</v>
      </c>
      <c r="M94" s="25" t="str">
        <f t="shared" si="154"/>
        <v>19</v>
      </c>
      <c r="N94" s="25" t="str">
        <f t="shared" si="155"/>
        <v>11</v>
      </c>
      <c r="O94" s="25" t="str">
        <f t="shared" si="156"/>
        <v>1</v>
      </c>
      <c r="P94" s="25" t="str">
        <f t="shared" si="157"/>
        <v>4</v>
      </c>
      <c r="Q94" s="25" t="str">
        <f t="shared" si="158"/>
        <v>yellow</v>
      </c>
      <c r="R94" s="25" t="str">
        <f t="shared" si="159"/>
        <v>False</v>
      </c>
      <c r="S94" s="25"/>
      <c r="T94" s="25" t="str">
        <f t="shared" si="160"/>
        <v>True</v>
      </c>
      <c r="AA94" s="25" t="str">
        <f t="shared" si="105"/>
        <v/>
      </c>
      <c r="AB94" s="25" t="str">
        <f t="shared" si="106"/>
        <v/>
      </c>
      <c r="AD94" s="25" t="str">
        <f t="shared" si="107"/>
        <v/>
      </c>
      <c r="AE94" s="25" t="str">
        <f t="shared" si="108"/>
        <v/>
      </c>
      <c r="AF94" s="25" t="str">
        <f t="shared" si="109"/>
        <v/>
      </c>
      <c r="AG94" s="25" t="str">
        <f t="shared" si="110"/>
        <v/>
      </c>
      <c r="AH94" s="25" t="str">
        <f t="shared" si="111"/>
        <v/>
      </c>
      <c r="AI94" s="25" t="str">
        <f t="shared" si="112"/>
        <v/>
      </c>
      <c r="AJ94" s="25" t="str">
        <f t="shared" si="113"/>
        <v/>
      </c>
      <c r="AK94" s="25" t="str">
        <f t="shared" si="114"/>
        <v/>
      </c>
      <c r="AL94" s="25" t="str">
        <f t="shared" si="115"/>
        <v/>
      </c>
      <c r="AM94" s="25" t="str">
        <f t="shared" si="116"/>
        <v/>
      </c>
      <c r="AN94" s="25" t="str">
        <f t="shared" si="117"/>
        <v/>
      </c>
      <c r="AO94" s="25" t="str">
        <f t="shared" si="118"/>
        <v/>
      </c>
      <c r="AP94" s="25" t="str">
        <f t="shared" si="119"/>
        <v/>
      </c>
      <c r="AQ94" s="25" t="str">
        <f t="shared" si="120"/>
        <v/>
      </c>
      <c r="AR94" s="25" t="str">
        <f t="shared" si="121"/>
        <v/>
      </c>
      <c r="AS94" s="25" t="str">
        <f t="shared" si="122"/>
        <v/>
      </c>
      <c r="AT94" s="25" t="str">
        <f t="shared" si="123"/>
        <v/>
      </c>
      <c r="AU94" s="25" t="str">
        <f t="shared" si="124"/>
        <v/>
      </c>
      <c r="AV94" s="25" t="str">
        <f t="shared" si="125"/>
        <v/>
      </c>
      <c r="AW94" s="25" t="str">
        <f t="shared" si="126"/>
        <v/>
      </c>
      <c r="AX94" s="25" t="str">
        <f t="shared" si="127"/>
        <v/>
      </c>
      <c r="AY94" s="25" t="str">
        <f t="shared" si="128"/>
        <v/>
      </c>
      <c r="AZ94" s="25" t="str">
        <f t="shared" si="129"/>
        <v/>
      </c>
      <c r="BA94" s="25" t="str">
        <f t="shared" si="130"/>
        <v/>
      </c>
      <c r="BB94" s="25" t="str">
        <f t="shared" si="131"/>
        <v/>
      </c>
      <c r="BC94" s="25" t="str">
        <f t="shared" si="132"/>
        <v/>
      </c>
      <c r="BD94" s="25" t="str">
        <f t="shared" si="133"/>
        <v/>
      </c>
      <c r="BE94" s="25" t="str">
        <f t="shared" si="134"/>
        <v/>
      </c>
      <c r="BF94" s="25" t="str">
        <f t="shared" si="135"/>
        <v/>
      </c>
      <c r="BG94" s="25" t="str">
        <f t="shared" si="136"/>
        <v/>
      </c>
      <c r="BH94" s="25" t="str">
        <f t="shared" si="137"/>
        <v/>
      </c>
      <c r="BI94" s="6" t="str">
        <f t="shared" si="138"/>
        <v/>
      </c>
      <c r="BJ94" s="6" t="str">
        <f t="shared" si="139"/>
        <v/>
      </c>
      <c r="BK94" s="6" t="str">
        <f t="shared" si="140"/>
        <v/>
      </c>
      <c r="BL94" s="6" t="str">
        <f t="shared" si="141"/>
        <v/>
      </c>
      <c r="BM94" s="6" t="str">
        <f t="shared" si="142"/>
        <v/>
      </c>
      <c r="BN94" s="6" t="str">
        <f t="shared" si="143"/>
        <v/>
      </c>
      <c r="BO94" s="6" t="str">
        <f t="shared" si="144"/>
        <v/>
      </c>
      <c r="BP94" s="6" t="str">
        <f t="shared" si="145"/>
        <v/>
      </c>
      <c r="BQ94" s="6" t="str">
        <f t="shared" si="146"/>
        <v/>
      </c>
      <c r="BR94" s="6" t="str">
        <f t="shared" si="147"/>
        <v/>
      </c>
      <c r="BS94" s="6" t="str">
        <f t="shared" si="148"/>
        <v/>
      </c>
      <c r="BT94" s="6" t="str">
        <f t="shared" si="149"/>
        <v/>
      </c>
      <c r="BU94" s="6" t="str">
        <f t="shared" si="150"/>
        <v/>
      </c>
      <c r="BV94" s="6" t="str">
        <f t="shared" si="151"/>
        <v/>
      </c>
      <c r="BW94" s="6" t="str">
        <f t="shared" si="152"/>
        <v/>
      </c>
      <c r="BX94" s="6" t="str">
        <f t="shared" si="153"/>
        <v/>
      </c>
    </row>
    <row r="95" spans="3:76" ht="21">
      <c r="C95" s="25">
        <v>85</v>
      </c>
      <c r="D95" s="50"/>
      <c r="E95" s="50"/>
      <c r="F95" s="51" t="s">
        <v>8</v>
      </c>
      <c r="M95" s="25" t="str">
        <f t="shared" si="154"/>
        <v>19</v>
      </c>
      <c r="N95" s="25" t="str">
        <f t="shared" si="155"/>
        <v>11</v>
      </c>
      <c r="O95" s="25" t="str">
        <f t="shared" si="156"/>
        <v>1</v>
      </c>
      <c r="P95" s="25" t="str">
        <f t="shared" si="157"/>
        <v>4</v>
      </c>
      <c r="Q95" s="25" t="str">
        <f t="shared" si="158"/>
        <v>yellow</v>
      </c>
      <c r="R95" s="25" t="str">
        <f t="shared" si="159"/>
        <v>False</v>
      </c>
      <c r="S95" s="25"/>
      <c r="T95" s="25" t="str">
        <f t="shared" si="160"/>
        <v>True</v>
      </c>
      <c r="AA95" s="25" t="str">
        <f t="shared" si="105"/>
        <v/>
      </c>
      <c r="AB95" s="25" t="str">
        <f t="shared" si="106"/>
        <v/>
      </c>
      <c r="AD95" s="25" t="str">
        <f t="shared" si="107"/>
        <v/>
      </c>
      <c r="AE95" s="25" t="str">
        <f t="shared" si="108"/>
        <v/>
      </c>
      <c r="AF95" s="25" t="str">
        <f t="shared" si="109"/>
        <v/>
      </c>
      <c r="AG95" s="25" t="str">
        <f t="shared" si="110"/>
        <v/>
      </c>
      <c r="AH95" s="25" t="str">
        <f t="shared" si="111"/>
        <v/>
      </c>
      <c r="AI95" s="25" t="str">
        <f t="shared" si="112"/>
        <v/>
      </c>
      <c r="AJ95" s="25" t="str">
        <f t="shared" si="113"/>
        <v/>
      </c>
      <c r="AK95" s="25" t="str">
        <f t="shared" si="114"/>
        <v/>
      </c>
      <c r="AL95" s="25" t="str">
        <f t="shared" si="115"/>
        <v/>
      </c>
      <c r="AM95" s="25" t="str">
        <f t="shared" si="116"/>
        <v/>
      </c>
      <c r="AN95" s="25" t="str">
        <f t="shared" si="117"/>
        <v/>
      </c>
      <c r="AO95" s="25" t="str">
        <f t="shared" si="118"/>
        <v/>
      </c>
      <c r="AP95" s="25" t="str">
        <f t="shared" si="119"/>
        <v/>
      </c>
      <c r="AQ95" s="25" t="str">
        <f t="shared" si="120"/>
        <v/>
      </c>
      <c r="AR95" s="25" t="str">
        <f t="shared" si="121"/>
        <v/>
      </c>
      <c r="AS95" s="25" t="str">
        <f t="shared" si="122"/>
        <v/>
      </c>
      <c r="AT95" s="25" t="str">
        <f t="shared" si="123"/>
        <v/>
      </c>
      <c r="AU95" s="25" t="str">
        <f t="shared" si="124"/>
        <v/>
      </c>
      <c r="AV95" s="25" t="str">
        <f t="shared" si="125"/>
        <v/>
      </c>
      <c r="AW95" s="25" t="str">
        <f t="shared" si="126"/>
        <v/>
      </c>
      <c r="AX95" s="25" t="str">
        <f t="shared" si="127"/>
        <v/>
      </c>
      <c r="AY95" s="25" t="str">
        <f t="shared" si="128"/>
        <v/>
      </c>
      <c r="AZ95" s="25" t="str">
        <f t="shared" si="129"/>
        <v/>
      </c>
      <c r="BA95" s="25" t="str">
        <f t="shared" si="130"/>
        <v/>
      </c>
      <c r="BB95" s="25" t="str">
        <f t="shared" si="131"/>
        <v/>
      </c>
      <c r="BC95" s="25" t="str">
        <f t="shared" si="132"/>
        <v/>
      </c>
      <c r="BD95" s="25" t="str">
        <f t="shared" si="133"/>
        <v/>
      </c>
      <c r="BE95" s="25" t="str">
        <f t="shared" si="134"/>
        <v/>
      </c>
      <c r="BF95" s="25" t="str">
        <f t="shared" si="135"/>
        <v/>
      </c>
      <c r="BG95" s="25" t="str">
        <f t="shared" si="136"/>
        <v/>
      </c>
      <c r="BH95" s="25" t="str">
        <f t="shared" si="137"/>
        <v/>
      </c>
      <c r="BI95" s="6" t="str">
        <f t="shared" si="138"/>
        <v/>
      </c>
      <c r="BJ95" s="6" t="str">
        <f t="shared" si="139"/>
        <v/>
      </c>
      <c r="BK95" s="6" t="str">
        <f t="shared" si="140"/>
        <v/>
      </c>
      <c r="BL95" s="6" t="str">
        <f t="shared" si="141"/>
        <v/>
      </c>
      <c r="BM95" s="6" t="str">
        <f t="shared" si="142"/>
        <v/>
      </c>
      <c r="BN95" s="6" t="str">
        <f t="shared" si="143"/>
        <v/>
      </c>
      <c r="BO95" s="6" t="str">
        <f t="shared" si="144"/>
        <v/>
      </c>
      <c r="BP95" s="6" t="str">
        <f t="shared" si="145"/>
        <v/>
      </c>
      <c r="BQ95" s="6" t="str">
        <f t="shared" si="146"/>
        <v/>
      </c>
      <c r="BR95" s="6" t="str">
        <f t="shared" si="147"/>
        <v/>
      </c>
      <c r="BS95" s="6" t="str">
        <f t="shared" si="148"/>
        <v/>
      </c>
      <c r="BT95" s="6" t="str">
        <f t="shared" si="149"/>
        <v/>
      </c>
      <c r="BU95" s="6" t="str">
        <f t="shared" si="150"/>
        <v/>
      </c>
      <c r="BV95" s="6" t="str">
        <f t="shared" si="151"/>
        <v/>
      </c>
      <c r="BW95" s="6" t="str">
        <f t="shared" si="152"/>
        <v/>
      </c>
      <c r="BX95" s="6" t="str">
        <f t="shared" si="153"/>
        <v/>
      </c>
    </row>
    <row r="96" spans="3:76" ht="21">
      <c r="C96" s="25">
        <v>86</v>
      </c>
      <c r="D96" s="50"/>
      <c r="E96" s="50"/>
      <c r="F96" s="51" t="s">
        <v>8</v>
      </c>
      <c r="M96" s="25" t="str">
        <f t="shared" si="154"/>
        <v>19</v>
      </c>
      <c r="N96" s="25" t="str">
        <f t="shared" si="155"/>
        <v>11</v>
      </c>
      <c r="O96" s="25" t="str">
        <f t="shared" si="156"/>
        <v>1</v>
      </c>
      <c r="P96" s="25" t="str">
        <f t="shared" si="157"/>
        <v>4</v>
      </c>
      <c r="Q96" s="25" t="str">
        <f t="shared" si="158"/>
        <v>yellow</v>
      </c>
      <c r="R96" s="25" t="str">
        <f t="shared" si="159"/>
        <v>False</v>
      </c>
      <c r="S96" s="25"/>
      <c r="T96" s="25" t="str">
        <f t="shared" si="160"/>
        <v>True</v>
      </c>
      <c r="AA96" s="25" t="str">
        <f t="shared" si="105"/>
        <v/>
      </c>
      <c r="AB96" s="25" t="str">
        <f t="shared" si="106"/>
        <v/>
      </c>
      <c r="AD96" s="25" t="str">
        <f t="shared" si="107"/>
        <v/>
      </c>
      <c r="AE96" s="25" t="str">
        <f t="shared" si="108"/>
        <v/>
      </c>
      <c r="AF96" s="25" t="str">
        <f t="shared" si="109"/>
        <v/>
      </c>
      <c r="AG96" s="25" t="str">
        <f t="shared" si="110"/>
        <v/>
      </c>
      <c r="AH96" s="25" t="str">
        <f t="shared" si="111"/>
        <v/>
      </c>
      <c r="AI96" s="25" t="str">
        <f t="shared" si="112"/>
        <v/>
      </c>
      <c r="AJ96" s="25" t="str">
        <f t="shared" si="113"/>
        <v/>
      </c>
      <c r="AK96" s="25" t="str">
        <f t="shared" si="114"/>
        <v/>
      </c>
      <c r="AL96" s="25" t="str">
        <f t="shared" si="115"/>
        <v/>
      </c>
      <c r="AM96" s="25" t="str">
        <f t="shared" si="116"/>
        <v/>
      </c>
      <c r="AN96" s="25" t="str">
        <f t="shared" si="117"/>
        <v/>
      </c>
      <c r="AO96" s="25" t="str">
        <f t="shared" si="118"/>
        <v/>
      </c>
      <c r="AP96" s="25" t="str">
        <f t="shared" si="119"/>
        <v/>
      </c>
      <c r="AQ96" s="25" t="str">
        <f t="shared" si="120"/>
        <v/>
      </c>
      <c r="AR96" s="25" t="str">
        <f t="shared" si="121"/>
        <v/>
      </c>
      <c r="AS96" s="25" t="str">
        <f t="shared" si="122"/>
        <v/>
      </c>
      <c r="AT96" s="25" t="str">
        <f t="shared" si="123"/>
        <v/>
      </c>
      <c r="AU96" s="25" t="str">
        <f t="shared" si="124"/>
        <v/>
      </c>
      <c r="AV96" s="25" t="str">
        <f t="shared" si="125"/>
        <v/>
      </c>
      <c r="AW96" s="25" t="str">
        <f t="shared" si="126"/>
        <v/>
      </c>
      <c r="AX96" s="25" t="str">
        <f t="shared" si="127"/>
        <v/>
      </c>
      <c r="AY96" s="25" t="str">
        <f t="shared" si="128"/>
        <v/>
      </c>
      <c r="AZ96" s="25" t="str">
        <f t="shared" si="129"/>
        <v/>
      </c>
      <c r="BA96" s="25" t="str">
        <f t="shared" si="130"/>
        <v/>
      </c>
      <c r="BB96" s="25" t="str">
        <f t="shared" si="131"/>
        <v/>
      </c>
      <c r="BC96" s="25" t="str">
        <f t="shared" si="132"/>
        <v/>
      </c>
      <c r="BD96" s="25" t="str">
        <f t="shared" si="133"/>
        <v/>
      </c>
      <c r="BE96" s="25" t="str">
        <f t="shared" si="134"/>
        <v/>
      </c>
      <c r="BF96" s="25" t="str">
        <f t="shared" si="135"/>
        <v/>
      </c>
      <c r="BG96" s="25" t="str">
        <f t="shared" si="136"/>
        <v/>
      </c>
      <c r="BH96" s="25" t="str">
        <f t="shared" si="137"/>
        <v/>
      </c>
      <c r="BI96" s="6" t="str">
        <f t="shared" si="138"/>
        <v/>
      </c>
      <c r="BJ96" s="6" t="str">
        <f t="shared" si="139"/>
        <v/>
      </c>
      <c r="BK96" s="6" t="str">
        <f t="shared" si="140"/>
        <v/>
      </c>
      <c r="BL96" s="6" t="str">
        <f t="shared" si="141"/>
        <v/>
      </c>
      <c r="BM96" s="6" t="str">
        <f t="shared" si="142"/>
        <v/>
      </c>
      <c r="BN96" s="6" t="str">
        <f t="shared" si="143"/>
        <v/>
      </c>
      <c r="BO96" s="6" t="str">
        <f t="shared" si="144"/>
        <v/>
      </c>
      <c r="BP96" s="6" t="str">
        <f t="shared" si="145"/>
        <v/>
      </c>
      <c r="BQ96" s="6" t="str">
        <f t="shared" si="146"/>
        <v/>
      </c>
      <c r="BR96" s="6" t="str">
        <f t="shared" si="147"/>
        <v/>
      </c>
      <c r="BS96" s="6" t="str">
        <f t="shared" si="148"/>
        <v/>
      </c>
      <c r="BT96" s="6" t="str">
        <f t="shared" si="149"/>
        <v/>
      </c>
      <c r="BU96" s="6" t="str">
        <f t="shared" si="150"/>
        <v/>
      </c>
      <c r="BV96" s="6" t="str">
        <f t="shared" si="151"/>
        <v/>
      </c>
      <c r="BW96" s="6" t="str">
        <f t="shared" si="152"/>
        <v/>
      </c>
      <c r="BX96" s="6" t="str">
        <f t="shared" si="153"/>
        <v/>
      </c>
    </row>
    <row r="97" spans="3:76" ht="21">
      <c r="C97" s="25">
        <v>87</v>
      </c>
      <c r="D97" s="50"/>
      <c r="E97" s="50"/>
      <c r="F97" s="51" t="s">
        <v>8</v>
      </c>
      <c r="M97" s="25" t="str">
        <f t="shared" si="154"/>
        <v>19</v>
      </c>
      <c r="N97" s="25" t="str">
        <f t="shared" si="155"/>
        <v>11</v>
      </c>
      <c r="O97" s="25" t="str">
        <f t="shared" si="156"/>
        <v>1</v>
      </c>
      <c r="P97" s="25" t="str">
        <f t="shared" si="157"/>
        <v>4</v>
      </c>
      <c r="Q97" s="25" t="str">
        <f t="shared" si="158"/>
        <v>yellow</v>
      </c>
      <c r="R97" s="25" t="str">
        <f t="shared" si="159"/>
        <v>False</v>
      </c>
      <c r="S97" s="25"/>
      <c r="T97" s="25" t="str">
        <f t="shared" si="160"/>
        <v>True</v>
      </c>
      <c r="AA97" s="25" t="str">
        <f t="shared" si="105"/>
        <v/>
      </c>
      <c r="AB97" s="25" t="str">
        <f t="shared" si="106"/>
        <v/>
      </c>
      <c r="AD97" s="25" t="str">
        <f t="shared" si="107"/>
        <v/>
      </c>
      <c r="AE97" s="25" t="str">
        <f t="shared" si="108"/>
        <v/>
      </c>
      <c r="AF97" s="25" t="str">
        <f t="shared" si="109"/>
        <v/>
      </c>
      <c r="AG97" s="25" t="str">
        <f t="shared" si="110"/>
        <v/>
      </c>
      <c r="AH97" s="25" t="str">
        <f t="shared" si="111"/>
        <v/>
      </c>
      <c r="AI97" s="25" t="str">
        <f t="shared" si="112"/>
        <v/>
      </c>
      <c r="AJ97" s="25" t="str">
        <f t="shared" si="113"/>
        <v/>
      </c>
      <c r="AK97" s="25" t="str">
        <f t="shared" si="114"/>
        <v/>
      </c>
      <c r="AL97" s="25" t="str">
        <f t="shared" si="115"/>
        <v/>
      </c>
      <c r="AM97" s="25" t="str">
        <f t="shared" si="116"/>
        <v/>
      </c>
      <c r="AN97" s="25" t="str">
        <f t="shared" si="117"/>
        <v/>
      </c>
      <c r="AO97" s="25" t="str">
        <f t="shared" si="118"/>
        <v/>
      </c>
      <c r="AP97" s="25" t="str">
        <f t="shared" si="119"/>
        <v/>
      </c>
      <c r="AQ97" s="25" t="str">
        <f t="shared" si="120"/>
        <v/>
      </c>
      <c r="AR97" s="25" t="str">
        <f t="shared" si="121"/>
        <v/>
      </c>
      <c r="AS97" s="25" t="str">
        <f t="shared" si="122"/>
        <v/>
      </c>
      <c r="AT97" s="25" t="str">
        <f t="shared" si="123"/>
        <v/>
      </c>
      <c r="AU97" s="25" t="str">
        <f t="shared" si="124"/>
        <v/>
      </c>
      <c r="AV97" s="25" t="str">
        <f t="shared" si="125"/>
        <v/>
      </c>
      <c r="AW97" s="25" t="str">
        <f t="shared" si="126"/>
        <v/>
      </c>
      <c r="AX97" s="25" t="str">
        <f t="shared" si="127"/>
        <v/>
      </c>
      <c r="AY97" s="25" t="str">
        <f t="shared" si="128"/>
        <v/>
      </c>
      <c r="AZ97" s="25" t="str">
        <f t="shared" si="129"/>
        <v/>
      </c>
      <c r="BA97" s="25" t="str">
        <f t="shared" si="130"/>
        <v/>
      </c>
      <c r="BB97" s="25" t="str">
        <f t="shared" si="131"/>
        <v/>
      </c>
      <c r="BC97" s="25" t="str">
        <f t="shared" si="132"/>
        <v/>
      </c>
      <c r="BD97" s="25" t="str">
        <f t="shared" si="133"/>
        <v/>
      </c>
      <c r="BE97" s="25" t="str">
        <f t="shared" si="134"/>
        <v/>
      </c>
      <c r="BF97" s="25" t="str">
        <f t="shared" si="135"/>
        <v/>
      </c>
      <c r="BG97" s="25" t="str">
        <f t="shared" si="136"/>
        <v/>
      </c>
      <c r="BH97" s="25" t="str">
        <f t="shared" si="137"/>
        <v/>
      </c>
      <c r="BI97" s="6" t="str">
        <f t="shared" si="138"/>
        <v/>
      </c>
      <c r="BJ97" s="6" t="str">
        <f t="shared" si="139"/>
        <v/>
      </c>
      <c r="BK97" s="6" t="str">
        <f t="shared" si="140"/>
        <v/>
      </c>
      <c r="BL97" s="6" t="str">
        <f t="shared" si="141"/>
        <v/>
      </c>
      <c r="BM97" s="6" t="str">
        <f t="shared" si="142"/>
        <v/>
      </c>
      <c r="BN97" s="6" t="str">
        <f t="shared" si="143"/>
        <v/>
      </c>
      <c r="BO97" s="6" t="str">
        <f t="shared" si="144"/>
        <v/>
      </c>
      <c r="BP97" s="6" t="str">
        <f t="shared" si="145"/>
        <v/>
      </c>
      <c r="BQ97" s="6" t="str">
        <f t="shared" si="146"/>
        <v/>
      </c>
      <c r="BR97" s="6" t="str">
        <f t="shared" si="147"/>
        <v/>
      </c>
      <c r="BS97" s="6" t="str">
        <f t="shared" si="148"/>
        <v/>
      </c>
      <c r="BT97" s="6" t="str">
        <f t="shared" si="149"/>
        <v/>
      </c>
      <c r="BU97" s="6" t="str">
        <f t="shared" si="150"/>
        <v/>
      </c>
      <c r="BV97" s="6" t="str">
        <f t="shared" si="151"/>
        <v/>
      </c>
      <c r="BW97" s="6" t="str">
        <f t="shared" si="152"/>
        <v/>
      </c>
      <c r="BX97" s="6" t="str">
        <f t="shared" si="153"/>
        <v/>
      </c>
    </row>
    <row r="98" spans="3:76" ht="21">
      <c r="C98" s="25">
        <v>88</v>
      </c>
      <c r="D98" s="50"/>
      <c r="E98" s="50"/>
      <c r="F98" s="51" t="s">
        <v>8</v>
      </c>
      <c r="M98" s="25" t="str">
        <f t="shared" si="154"/>
        <v>19</v>
      </c>
      <c r="N98" s="25" t="str">
        <f t="shared" si="155"/>
        <v>11</v>
      </c>
      <c r="O98" s="25" t="str">
        <f t="shared" si="156"/>
        <v>1</v>
      </c>
      <c r="P98" s="25" t="str">
        <f t="shared" si="157"/>
        <v>4</v>
      </c>
      <c r="Q98" s="25" t="str">
        <f t="shared" si="158"/>
        <v>yellow</v>
      </c>
      <c r="R98" s="25" t="str">
        <f t="shared" si="159"/>
        <v>False</v>
      </c>
      <c r="S98" s="25"/>
      <c r="T98" s="25" t="str">
        <f t="shared" si="160"/>
        <v>True</v>
      </c>
      <c r="AA98" s="25" t="str">
        <f t="shared" si="105"/>
        <v/>
      </c>
      <c r="AB98" s="25" t="str">
        <f t="shared" si="106"/>
        <v/>
      </c>
      <c r="AD98" s="25" t="str">
        <f t="shared" si="107"/>
        <v/>
      </c>
      <c r="AE98" s="25" t="str">
        <f t="shared" si="108"/>
        <v/>
      </c>
      <c r="AF98" s="25" t="str">
        <f t="shared" si="109"/>
        <v/>
      </c>
      <c r="AG98" s="25" t="str">
        <f t="shared" si="110"/>
        <v/>
      </c>
      <c r="AH98" s="25" t="str">
        <f t="shared" si="111"/>
        <v/>
      </c>
      <c r="AI98" s="25" t="str">
        <f t="shared" si="112"/>
        <v/>
      </c>
      <c r="AJ98" s="25" t="str">
        <f t="shared" si="113"/>
        <v/>
      </c>
      <c r="AK98" s="25" t="str">
        <f t="shared" si="114"/>
        <v/>
      </c>
      <c r="AL98" s="25" t="str">
        <f t="shared" si="115"/>
        <v/>
      </c>
      <c r="AM98" s="25" t="str">
        <f t="shared" si="116"/>
        <v/>
      </c>
      <c r="AN98" s="25" t="str">
        <f t="shared" si="117"/>
        <v/>
      </c>
      <c r="AO98" s="25" t="str">
        <f t="shared" si="118"/>
        <v/>
      </c>
      <c r="AP98" s="25" t="str">
        <f t="shared" si="119"/>
        <v/>
      </c>
      <c r="AQ98" s="25" t="str">
        <f t="shared" si="120"/>
        <v/>
      </c>
      <c r="AR98" s="25" t="str">
        <f t="shared" si="121"/>
        <v/>
      </c>
      <c r="AS98" s="25" t="str">
        <f t="shared" si="122"/>
        <v/>
      </c>
      <c r="AT98" s="25" t="str">
        <f t="shared" si="123"/>
        <v/>
      </c>
      <c r="AU98" s="25" t="str">
        <f t="shared" si="124"/>
        <v/>
      </c>
      <c r="AV98" s="25" t="str">
        <f t="shared" si="125"/>
        <v/>
      </c>
      <c r="AW98" s="25" t="str">
        <f t="shared" si="126"/>
        <v/>
      </c>
      <c r="AX98" s="25" t="str">
        <f t="shared" si="127"/>
        <v/>
      </c>
      <c r="AY98" s="25" t="str">
        <f t="shared" si="128"/>
        <v/>
      </c>
      <c r="AZ98" s="25" t="str">
        <f t="shared" si="129"/>
        <v/>
      </c>
      <c r="BA98" s="25" t="str">
        <f t="shared" si="130"/>
        <v/>
      </c>
      <c r="BB98" s="25" t="str">
        <f t="shared" si="131"/>
        <v/>
      </c>
      <c r="BC98" s="25" t="str">
        <f t="shared" si="132"/>
        <v/>
      </c>
      <c r="BD98" s="25" t="str">
        <f t="shared" si="133"/>
        <v/>
      </c>
      <c r="BE98" s="25" t="str">
        <f t="shared" si="134"/>
        <v/>
      </c>
      <c r="BF98" s="25" t="str">
        <f t="shared" si="135"/>
        <v/>
      </c>
      <c r="BG98" s="25" t="str">
        <f t="shared" si="136"/>
        <v/>
      </c>
      <c r="BH98" s="25" t="str">
        <f t="shared" si="137"/>
        <v/>
      </c>
      <c r="BI98" s="6" t="str">
        <f t="shared" si="138"/>
        <v/>
      </c>
      <c r="BJ98" s="6" t="str">
        <f t="shared" si="139"/>
        <v/>
      </c>
      <c r="BK98" s="6" t="str">
        <f t="shared" si="140"/>
        <v/>
      </c>
      <c r="BL98" s="6" t="str">
        <f t="shared" si="141"/>
        <v/>
      </c>
      <c r="BM98" s="6" t="str">
        <f t="shared" si="142"/>
        <v/>
      </c>
      <c r="BN98" s="6" t="str">
        <f t="shared" si="143"/>
        <v/>
      </c>
      <c r="BO98" s="6" t="str">
        <f t="shared" si="144"/>
        <v/>
      </c>
      <c r="BP98" s="6" t="str">
        <f t="shared" si="145"/>
        <v/>
      </c>
      <c r="BQ98" s="6" t="str">
        <f t="shared" si="146"/>
        <v/>
      </c>
      <c r="BR98" s="6" t="str">
        <f t="shared" si="147"/>
        <v/>
      </c>
      <c r="BS98" s="6" t="str">
        <f t="shared" si="148"/>
        <v/>
      </c>
      <c r="BT98" s="6" t="str">
        <f t="shared" si="149"/>
        <v/>
      </c>
      <c r="BU98" s="6" t="str">
        <f t="shared" si="150"/>
        <v/>
      </c>
      <c r="BV98" s="6" t="str">
        <f t="shared" si="151"/>
        <v/>
      </c>
      <c r="BW98" s="6" t="str">
        <f t="shared" si="152"/>
        <v/>
      </c>
      <c r="BX98" s="6" t="str">
        <f t="shared" si="153"/>
        <v/>
      </c>
    </row>
    <row r="99" spans="3:76" ht="21">
      <c r="C99" s="25">
        <v>89</v>
      </c>
      <c r="D99" s="50"/>
      <c r="E99" s="50"/>
      <c r="F99" s="51" t="s">
        <v>8</v>
      </c>
      <c r="M99" s="25" t="str">
        <f t="shared" si="154"/>
        <v>19</v>
      </c>
      <c r="N99" s="25" t="str">
        <f t="shared" si="155"/>
        <v>11</v>
      </c>
      <c r="O99" s="25" t="str">
        <f t="shared" si="156"/>
        <v>1</v>
      </c>
      <c r="P99" s="25" t="str">
        <f t="shared" si="157"/>
        <v>4</v>
      </c>
      <c r="Q99" s="25" t="str">
        <f t="shared" si="158"/>
        <v>yellow</v>
      </c>
      <c r="R99" s="25" t="str">
        <f t="shared" si="159"/>
        <v>False</v>
      </c>
      <c r="S99" s="25"/>
      <c r="T99" s="25" t="str">
        <f t="shared" si="160"/>
        <v>True</v>
      </c>
      <c r="AA99" s="25" t="str">
        <f t="shared" si="105"/>
        <v/>
      </c>
      <c r="AB99" s="25" t="str">
        <f t="shared" si="106"/>
        <v/>
      </c>
      <c r="AD99" s="25" t="str">
        <f t="shared" si="107"/>
        <v/>
      </c>
      <c r="AE99" s="25" t="str">
        <f t="shared" si="108"/>
        <v/>
      </c>
      <c r="AF99" s="25" t="str">
        <f t="shared" si="109"/>
        <v/>
      </c>
      <c r="AG99" s="25" t="str">
        <f t="shared" si="110"/>
        <v/>
      </c>
      <c r="AH99" s="25" t="str">
        <f t="shared" si="111"/>
        <v/>
      </c>
      <c r="AI99" s="25" t="str">
        <f t="shared" si="112"/>
        <v/>
      </c>
      <c r="AJ99" s="25" t="str">
        <f t="shared" si="113"/>
        <v/>
      </c>
      <c r="AK99" s="25" t="str">
        <f t="shared" si="114"/>
        <v/>
      </c>
      <c r="AL99" s="25" t="str">
        <f t="shared" si="115"/>
        <v/>
      </c>
      <c r="AM99" s="25" t="str">
        <f t="shared" si="116"/>
        <v/>
      </c>
      <c r="AN99" s="25" t="str">
        <f t="shared" si="117"/>
        <v/>
      </c>
      <c r="AO99" s="25" t="str">
        <f t="shared" si="118"/>
        <v/>
      </c>
      <c r="AP99" s="25" t="str">
        <f t="shared" si="119"/>
        <v/>
      </c>
      <c r="AQ99" s="25" t="str">
        <f t="shared" si="120"/>
        <v/>
      </c>
      <c r="AR99" s="25" t="str">
        <f t="shared" si="121"/>
        <v/>
      </c>
      <c r="AS99" s="25" t="str">
        <f t="shared" si="122"/>
        <v/>
      </c>
      <c r="AT99" s="25" t="str">
        <f t="shared" si="123"/>
        <v/>
      </c>
      <c r="AU99" s="25" t="str">
        <f t="shared" si="124"/>
        <v/>
      </c>
      <c r="AV99" s="25" t="str">
        <f t="shared" si="125"/>
        <v/>
      </c>
      <c r="AW99" s="25" t="str">
        <f t="shared" si="126"/>
        <v/>
      </c>
      <c r="AX99" s="25" t="str">
        <f t="shared" si="127"/>
        <v/>
      </c>
      <c r="AY99" s="25" t="str">
        <f t="shared" si="128"/>
        <v/>
      </c>
      <c r="AZ99" s="25" t="str">
        <f t="shared" si="129"/>
        <v/>
      </c>
      <c r="BA99" s="25" t="str">
        <f t="shared" si="130"/>
        <v/>
      </c>
      <c r="BB99" s="25" t="str">
        <f t="shared" si="131"/>
        <v/>
      </c>
      <c r="BC99" s="25" t="str">
        <f t="shared" si="132"/>
        <v/>
      </c>
      <c r="BD99" s="25" t="str">
        <f t="shared" si="133"/>
        <v/>
      </c>
      <c r="BE99" s="25" t="str">
        <f t="shared" si="134"/>
        <v/>
      </c>
      <c r="BF99" s="25" t="str">
        <f t="shared" si="135"/>
        <v/>
      </c>
      <c r="BG99" s="25" t="str">
        <f t="shared" si="136"/>
        <v/>
      </c>
      <c r="BH99" s="25" t="str">
        <f t="shared" si="137"/>
        <v/>
      </c>
      <c r="BI99" s="6" t="str">
        <f t="shared" si="138"/>
        <v/>
      </c>
      <c r="BJ99" s="6" t="str">
        <f t="shared" si="139"/>
        <v/>
      </c>
      <c r="BK99" s="6" t="str">
        <f t="shared" si="140"/>
        <v/>
      </c>
      <c r="BL99" s="6" t="str">
        <f t="shared" si="141"/>
        <v/>
      </c>
      <c r="BM99" s="6" t="str">
        <f t="shared" si="142"/>
        <v/>
      </c>
      <c r="BN99" s="6" t="str">
        <f t="shared" si="143"/>
        <v/>
      </c>
      <c r="BO99" s="6" t="str">
        <f t="shared" si="144"/>
        <v/>
      </c>
      <c r="BP99" s="6" t="str">
        <f t="shared" si="145"/>
        <v/>
      </c>
      <c r="BQ99" s="6" t="str">
        <f t="shared" si="146"/>
        <v/>
      </c>
      <c r="BR99" s="6" t="str">
        <f t="shared" si="147"/>
        <v/>
      </c>
      <c r="BS99" s="6" t="str">
        <f t="shared" si="148"/>
        <v/>
      </c>
      <c r="BT99" s="6" t="str">
        <f t="shared" si="149"/>
        <v/>
      </c>
      <c r="BU99" s="6" t="str">
        <f t="shared" si="150"/>
        <v/>
      </c>
      <c r="BV99" s="6" t="str">
        <f t="shared" si="151"/>
        <v/>
      </c>
      <c r="BW99" s="6" t="str">
        <f t="shared" si="152"/>
        <v/>
      </c>
      <c r="BX99" s="6" t="str">
        <f t="shared" si="153"/>
        <v/>
      </c>
    </row>
    <row r="100" spans="3:76" ht="21">
      <c r="C100" s="25">
        <v>90</v>
      </c>
      <c r="D100" s="50"/>
      <c r="E100" s="50"/>
      <c r="F100" s="51" t="s">
        <v>8</v>
      </c>
      <c r="M100" s="25" t="str">
        <f t="shared" si="154"/>
        <v>19</v>
      </c>
      <c r="N100" s="25" t="str">
        <f t="shared" si="155"/>
        <v>11</v>
      </c>
      <c r="O100" s="25" t="str">
        <f t="shared" si="156"/>
        <v>1</v>
      </c>
      <c r="P100" s="25" t="str">
        <f t="shared" si="157"/>
        <v>4</v>
      </c>
      <c r="Q100" s="25" t="str">
        <f t="shared" si="158"/>
        <v>yellow</v>
      </c>
      <c r="R100" s="25" t="str">
        <f t="shared" si="159"/>
        <v>False</v>
      </c>
      <c r="S100" s="25"/>
      <c r="T100" s="25" t="str">
        <f t="shared" si="160"/>
        <v>True</v>
      </c>
      <c r="AA100" s="25" t="str">
        <f t="shared" si="105"/>
        <v/>
      </c>
      <c r="AB100" s="25" t="str">
        <f t="shared" si="106"/>
        <v/>
      </c>
      <c r="AD100" s="25" t="str">
        <f t="shared" si="107"/>
        <v/>
      </c>
      <c r="AE100" s="25" t="str">
        <f t="shared" si="108"/>
        <v/>
      </c>
      <c r="AF100" s="25" t="str">
        <f t="shared" si="109"/>
        <v/>
      </c>
      <c r="AG100" s="25" t="str">
        <f t="shared" si="110"/>
        <v/>
      </c>
      <c r="AH100" s="25" t="str">
        <f t="shared" si="111"/>
        <v/>
      </c>
      <c r="AI100" s="25" t="str">
        <f t="shared" si="112"/>
        <v/>
      </c>
      <c r="AJ100" s="25" t="str">
        <f t="shared" si="113"/>
        <v/>
      </c>
      <c r="AK100" s="25" t="str">
        <f t="shared" si="114"/>
        <v/>
      </c>
      <c r="AL100" s="25" t="str">
        <f t="shared" si="115"/>
        <v/>
      </c>
      <c r="AM100" s="25" t="str">
        <f t="shared" si="116"/>
        <v/>
      </c>
      <c r="AN100" s="25" t="str">
        <f t="shared" si="117"/>
        <v/>
      </c>
      <c r="AO100" s="25" t="str">
        <f t="shared" si="118"/>
        <v/>
      </c>
      <c r="AP100" s="25" t="str">
        <f t="shared" si="119"/>
        <v/>
      </c>
      <c r="AQ100" s="25" t="str">
        <f t="shared" si="120"/>
        <v/>
      </c>
      <c r="AR100" s="25" t="str">
        <f t="shared" si="121"/>
        <v/>
      </c>
      <c r="AS100" s="25" t="str">
        <f t="shared" si="122"/>
        <v/>
      </c>
      <c r="AT100" s="25" t="str">
        <f t="shared" si="123"/>
        <v/>
      </c>
      <c r="AU100" s="25" t="str">
        <f t="shared" si="124"/>
        <v/>
      </c>
      <c r="AV100" s="25" t="str">
        <f t="shared" si="125"/>
        <v/>
      </c>
      <c r="AW100" s="25" t="str">
        <f t="shared" si="126"/>
        <v/>
      </c>
      <c r="AX100" s="25" t="str">
        <f t="shared" si="127"/>
        <v/>
      </c>
      <c r="AY100" s="25" t="str">
        <f t="shared" si="128"/>
        <v/>
      </c>
      <c r="AZ100" s="25" t="str">
        <f t="shared" si="129"/>
        <v/>
      </c>
      <c r="BA100" s="25" t="str">
        <f t="shared" si="130"/>
        <v/>
      </c>
      <c r="BB100" s="25" t="str">
        <f t="shared" si="131"/>
        <v/>
      </c>
      <c r="BC100" s="25" t="str">
        <f t="shared" si="132"/>
        <v/>
      </c>
      <c r="BD100" s="25" t="str">
        <f t="shared" si="133"/>
        <v/>
      </c>
      <c r="BE100" s="25" t="str">
        <f t="shared" si="134"/>
        <v/>
      </c>
      <c r="BF100" s="25" t="str">
        <f t="shared" si="135"/>
        <v/>
      </c>
      <c r="BG100" s="25" t="str">
        <f t="shared" si="136"/>
        <v/>
      </c>
      <c r="BH100" s="25" t="str">
        <f t="shared" si="137"/>
        <v/>
      </c>
      <c r="BI100" s="6" t="str">
        <f t="shared" si="138"/>
        <v/>
      </c>
      <c r="BJ100" s="6" t="str">
        <f t="shared" si="139"/>
        <v/>
      </c>
      <c r="BK100" s="6" t="str">
        <f t="shared" si="140"/>
        <v/>
      </c>
      <c r="BL100" s="6" t="str">
        <f t="shared" si="141"/>
        <v/>
      </c>
      <c r="BM100" s="6" t="str">
        <f t="shared" si="142"/>
        <v/>
      </c>
      <c r="BN100" s="6" t="str">
        <f t="shared" si="143"/>
        <v/>
      </c>
      <c r="BO100" s="6" t="str">
        <f t="shared" si="144"/>
        <v/>
      </c>
      <c r="BP100" s="6" t="str">
        <f t="shared" si="145"/>
        <v/>
      </c>
      <c r="BQ100" s="6" t="str">
        <f t="shared" si="146"/>
        <v/>
      </c>
      <c r="BR100" s="6" t="str">
        <f t="shared" si="147"/>
        <v/>
      </c>
      <c r="BS100" s="6" t="str">
        <f t="shared" si="148"/>
        <v/>
      </c>
      <c r="BT100" s="6" t="str">
        <f t="shared" si="149"/>
        <v/>
      </c>
      <c r="BU100" s="6" t="str">
        <f t="shared" si="150"/>
        <v/>
      </c>
      <c r="BV100" s="6" t="str">
        <f t="shared" si="151"/>
        <v/>
      </c>
      <c r="BW100" s="6" t="str">
        <f t="shared" si="152"/>
        <v/>
      </c>
      <c r="BX100" s="6" t="str">
        <f t="shared" si="153"/>
        <v/>
      </c>
    </row>
    <row r="101" spans="3:76">
      <c r="AA101" s="25" t="s">
        <v>27</v>
      </c>
    </row>
    <row r="102" spans="3:76">
      <c r="AA102" s="25" t="s">
        <v>0</v>
      </c>
    </row>
    <row r="103" spans="3:76">
      <c r="AA103" s="25" t="str">
        <f t="shared" ref="AA103:AA134" si="161">IF(E11&lt;&gt;"","Insert Into CR_MAC([CorpID],[MAC])","")</f>
        <v>Insert Into CR_MAC([CorpID],[MAC])</v>
      </c>
      <c r="AB103" s="25" t="str">
        <f t="shared" ref="AB103:AB134" si="162">IF(E11&lt;&gt;"","VALUES ('"&amp;$E$6&amp;"', '"&amp;E11&amp;"');","")</f>
        <v>VALUES ('3333', '4084323228AF');</v>
      </c>
    </row>
    <row r="104" spans="3:76">
      <c r="AA104" s="25" t="str">
        <f t="shared" si="161"/>
        <v>Insert Into CR_MAC([CorpID],[MAC])</v>
      </c>
      <c r="AB104" s="25" t="str">
        <f t="shared" si="162"/>
        <v>VALUES ('3333', '408432322592');</v>
      </c>
    </row>
    <row r="105" spans="3:76">
      <c r="AA105" s="25" t="str">
        <f t="shared" si="161"/>
        <v>Insert Into CR_MAC([CorpID],[MAC])</v>
      </c>
      <c r="AB105" s="25" t="str">
        <f t="shared" si="162"/>
        <v>VALUES ('3333', '4084323222E7');</v>
      </c>
    </row>
    <row r="106" spans="3:76">
      <c r="AA106" s="25" t="str">
        <f t="shared" si="161"/>
        <v>Insert Into CR_MAC([CorpID],[MAC])</v>
      </c>
      <c r="AB106" s="25" t="str">
        <f t="shared" si="162"/>
        <v>VALUES ('3333', '408432322456');</v>
      </c>
    </row>
    <row r="107" spans="3:76">
      <c r="AA107" s="25" t="str">
        <f t="shared" si="161"/>
        <v>Insert Into CR_MAC([CorpID],[MAC])</v>
      </c>
      <c r="AB107" s="25" t="str">
        <f t="shared" si="162"/>
        <v>VALUES ('3333', '40843232251A');</v>
      </c>
    </row>
    <row r="108" spans="3:76">
      <c r="AA108" s="25" t="str">
        <f t="shared" si="161"/>
        <v>Insert Into CR_MAC([CorpID],[MAC])</v>
      </c>
      <c r="AB108" s="25" t="str">
        <f t="shared" si="162"/>
        <v>VALUES ('3333', '408432322CF2');</v>
      </c>
    </row>
    <row r="109" spans="3:76">
      <c r="AA109" s="25" t="str">
        <f t="shared" si="161"/>
        <v>Insert Into CR_MAC([CorpID],[MAC])</v>
      </c>
      <c r="AB109" s="25" t="str">
        <f t="shared" si="162"/>
        <v>VALUES ('3333', '408432322543');</v>
      </c>
    </row>
    <row r="110" spans="3:76">
      <c r="AA110" s="25" t="str">
        <f t="shared" si="161"/>
        <v>Insert Into CR_MAC([CorpID],[MAC])</v>
      </c>
      <c r="AB110" s="25" t="str">
        <f t="shared" si="162"/>
        <v>VALUES ('3333', '408432322310');</v>
      </c>
    </row>
    <row r="111" spans="3:76">
      <c r="AA111" s="25" t="str">
        <f t="shared" si="161"/>
        <v>Insert Into CR_MAC([CorpID],[MAC])</v>
      </c>
      <c r="AB111" s="25" t="str">
        <f t="shared" si="162"/>
        <v>VALUES ('3333', '408432322491');</v>
      </c>
    </row>
    <row r="112" spans="3:76">
      <c r="AA112" s="25" t="str">
        <f t="shared" si="161"/>
        <v>Insert Into CR_MAC([CorpID],[MAC])</v>
      </c>
      <c r="AB112" s="25" t="str">
        <f t="shared" si="162"/>
        <v>VALUES ('3333', '40843232237E');</v>
      </c>
    </row>
    <row r="113" spans="27:28">
      <c r="AA113" s="25" t="str">
        <f t="shared" si="161"/>
        <v>Insert Into CR_MAC([CorpID],[MAC])</v>
      </c>
      <c r="AB113" s="25" t="str">
        <f t="shared" si="162"/>
        <v>VALUES ('3333', '408432322545');</v>
      </c>
    </row>
    <row r="114" spans="27:28">
      <c r="AA114" s="25" t="str">
        <f t="shared" si="161"/>
        <v>Insert Into CR_MAC([CorpID],[MAC])</v>
      </c>
      <c r="AB114" s="25" t="str">
        <f t="shared" si="162"/>
        <v>VALUES ('3333', '4084323223F5');</v>
      </c>
    </row>
    <row r="115" spans="27:28">
      <c r="AA115" s="25" t="str">
        <f t="shared" si="161"/>
        <v>Insert Into CR_MAC([CorpID],[MAC])</v>
      </c>
      <c r="AB115" s="25" t="str">
        <f t="shared" si="162"/>
        <v>VALUES ('3333', '40843232240B');</v>
      </c>
    </row>
    <row r="116" spans="27:28">
      <c r="AA116" s="25" t="str">
        <f t="shared" si="161"/>
        <v>Insert Into CR_MAC([CorpID],[MAC])</v>
      </c>
      <c r="AB116" s="25" t="str">
        <f t="shared" si="162"/>
        <v>VALUES ('3333', '4084323222D9');</v>
      </c>
    </row>
    <row r="117" spans="27:28">
      <c r="AA117" s="25" t="str">
        <f t="shared" si="161"/>
        <v>Insert Into CR_MAC([CorpID],[MAC])</v>
      </c>
      <c r="AB117" s="25" t="str">
        <f t="shared" si="162"/>
        <v>VALUES ('3333', '4084323223F6');</v>
      </c>
    </row>
    <row r="118" spans="27:28">
      <c r="AA118" s="25" t="str">
        <f t="shared" si="161"/>
        <v>Insert Into CR_MAC([CorpID],[MAC])</v>
      </c>
      <c r="AB118" s="25" t="str">
        <f t="shared" si="162"/>
        <v>VALUES ('3333', '408432322556');</v>
      </c>
    </row>
    <row r="119" spans="27:28">
      <c r="AA119" s="25" t="str">
        <f t="shared" si="161"/>
        <v>Insert Into CR_MAC([CorpID],[MAC])</v>
      </c>
      <c r="AB119" s="25" t="str">
        <f t="shared" si="162"/>
        <v>VALUES ('3333', '40843231FEEF');</v>
      </c>
    </row>
    <row r="120" spans="27:28">
      <c r="AA120" s="25" t="str">
        <f t="shared" si="161"/>
        <v>Insert Into CR_MAC([CorpID],[MAC])</v>
      </c>
      <c r="AB120" s="25" t="str">
        <f t="shared" si="162"/>
        <v>VALUES ('3333', '4084323234C7');</v>
      </c>
    </row>
    <row r="121" spans="27:28">
      <c r="AA121" s="25" t="str">
        <f t="shared" si="161"/>
        <v>Insert Into CR_MAC([CorpID],[MAC])</v>
      </c>
      <c r="AB121" s="25" t="str">
        <f t="shared" si="162"/>
        <v>VALUES ('3333', '4084323223C9');</v>
      </c>
    </row>
    <row r="122" spans="27:28">
      <c r="AA122" s="25" t="str">
        <f t="shared" si="161"/>
        <v/>
      </c>
      <c r="AB122" s="25" t="str">
        <f t="shared" si="162"/>
        <v/>
      </c>
    </row>
    <row r="123" spans="27:28">
      <c r="AA123" s="25" t="str">
        <f t="shared" si="161"/>
        <v/>
      </c>
      <c r="AB123" s="25" t="str">
        <f t="shared" si="162"/>
        <v/>
      </c>
    </row>
    <row r="124" spans="27:28">
      <c r="AA124" s="25" t="str">
        <f t="shared" si="161"/>
        <v/>
      </c>
      <c r="AB124" s="25" t="str">
        <f t="shared" si="162"/>
        <v/>
      </c>
    </row>
    <row r="125" spans="27:28">
      <c r="AA125" s="25" t="str">
        <f t="shared" si="161"/>
        <v/>
      </c>
      <c r="AB125" s="25" t="str">
        <f t="shared" si="162"/>
        <v/>
      </c>
    </row>
    <row r="126" spans="27:28">
      <c r="AA126" s="25" t="str">
        <f t="shared" si="161"/>
        <v/>
      </c>
      <c r="AB126" s="25" t="str">
        <f t="shared" si="162"/>
        <v/>
      </c>
    </row>
    <row r="127" spans="27:28">
      <c r="AA127" s="25" t="str">
        <f t="shared" si="161"/>
        <v/>
      </c>
      <c r="AB127" s="25" t="str">
        <f t="shared" si="162"/>
        <v/>
      </c>
    </row>
    <row r="128" spans="27:28">
      <c r="AA128" s="25" t="str">
        <f t="shared" si="161"/>
        <v/>
      </c>
      <c r="AB128" s="25" t="str">
        <f t="shared" si="162"/>
        <v/>
      </c>
    </row>
    <row r="129" spans="27:28">
      <c r="AA129" s="25" t="str">
        <f t="shared" si="161"/>
        <v/>
      </c>
      <c r="AB129" s="25" t="str">
        <f t="shared" si="162"/>
        <v/>
      </c>
    </row>
    <row r="130" spans="27:28">
      <c r="AA130" s="25" t="str">
        <f t="shared" si="161"/>
        <v/>
      </c>
      <c r="AB130" s="25" t="str">
        <f t="shared" si="162"/>
        <v/>
      </c>
    </row>
    <row r="131" spans="27:28">
      <c r="AA131" s="25" t="str">
        <f t="shared" si="161"/>
        <v/>
      </c>
      <c r="AB131" s="25" t="str">
        <f t="shared" si="162"/>
        <v/>
      </c>
    </row>
    <row r="132" spans="27:28">
      <c r="AA132" s="25" t="str">
        <f t="shared" si="161"/>
        <v/>
      </c>
      <c r="AB132" s="25" t="str">
        <f t="shared" si="162"/>
        <v/>
      </c>
    </row>
    <row r="133" spans="27:28">
      <c r="AA133" s="25" t="str">
        <f t="shared" si="161"/>
        <v/>
      </c>
      <c r="AB133" s="25" t="str">
        <f t="shared" si="162"/>
        <v/>
      </c>
    </row>
    <row r="134" spans="27:28">
      <c r="AA134" s="25" t="str">
        <f t="shared" si="161"/>
        <v/>
      </c>
      <c r="AB134" s="25" t="str">
        <f t="shared" si="162"/>
        <v/>
      </c>
    </row>
    <row r="135" spans="27:28">
      <c r="AA135" s="25" t="str">
        <f t="shared" ref="AA135:AA166" si="163">IF(E43&lt;&gt;"","Insert Into CR_MAC([CorpID],[MAC])","")</f>
        <v/>
      </c>
      <c r="AB135" s="25" t="str">
        <f t="shared" ref="AB135:AB166" si="164">IF(E43&lt;&gt;"","VALUES ('"&amp;$E$6&amp;"', '"&amp;E43&amp;"');","")</f>
        <v/>
      </c>
    </row>
    <row r="136" spans="27:28">
      <c r="AA136" s="25" t="str">
        <f t="shared" si="163"/>
        <v/>
      </c>
      <c r="AB136" s="25" t="str">
        <f t="shared" si="164"/>
        <v/>
      </c>
    </row>
    <row r="137" spans="27:28">
      <c r="AA137" s="25" t="str">
        <f t="shared" si="163"/>
        <v/>
      </c>
      <c r="AB137" s="25" t="str">
        <f t="shared" si="164"/>
        <v/>
      </c>
    </row>
    <row r="138" spans="27:28">
      <c r="AA138" s="25" t="str">
        <f t="shared" si="163"/>
        <v/>
      </c>
      <c r="AB138" s="25" t="str">
        <f t="shared" si="164"/>
        <v/>
      </c>
    </row>
    <row r="139" spans="27:28">
      <c r="AA139" s="25" t="str">
        <f t="shared" si="163"/>
        <v/>
      </c>
      <c r="AB139" s="25" t="str">
        <f t="shared" si="164"/>
        <v/>
      </c>
    </row>
    <row r="140" spans="27:28">
      <c r="AA140" s="25" t="str">
        <f t="shared" si="163"/>
        <v/>
      </c>
      <c r="AB140" s="25" t="str">
        <f t="shared" si="164"/>
        <v/>
      </c>
    </row>
    <row r="141" spans="27:28">
      <c r="AA141" s="25" t="str">
        <f t="shared" si="163"/>
        <v/>
      </c>
      <c r="AB141" s="25" t="str">
        <f t="shared" si="164"/>
        <v/>
      </c>
    </row>
    <row r="142" spans="27:28">
      <c r="AA142" s="25" t="str">
        <f t="shared" si="163"/>
        <v/>
      </c>
      <c r="AB142" s="25" t="str">
        <f t="shared" si="164"/>
        <v/>
      </c>
    </row>
    <row r="143" spans="27:28">
      <c r="AA143" s="25" t="str">
        <f t="shared" si="163"/>
        <v/>
      </c>
      <c r="AB143" s="25" t="str">
        <f t="shared" si="164"/>
        <v/>
      </c>
    </row>
    <row r="144" spans="27:28">
      <c r="AA144" s="25" t="str">
        <f t="shared" si="163"/>
        <v/>
      </c>
      <c r="AB144" s="25" t="str">
        <f t="shared" si="164"/>
        <v/>
      </c>
    </row>
    <row r="145" spans="27:28">
      <c r="AA145" s="25" t="str">
        <f t="shared" si="163"/>
        <v/>
      </c>
      <c r="AB145" s="25" t="str">
        <f t="shared" si="164"/>
        <v/>
      </c>
    </row>
    <row r="146" spans="27:28">
      <c r="AA146" s="25" t="str">
        <f t="shared" si="163"/>
        <v/>
      </c>
      <c r="AB146" s="25" t="str">
        <f t="shared" si="164"/>
        <v/>
      </c>
    </row>
    <row r="147" spans="27:28">
      <c r="AA147" s="25" t="str">
        <f t="shared" si="163"/>
        <v/>
      </c>
      <c r="AB147" s="25" t="str">
        <f t="shared" si="164"/>
        <v/>
      </c>
    </row>
    <row r="148" spans="27:28">
      <c r="AA148" s="25" t="str">
        <f t="shared" si="163"/>
        <v/>
      </c>
      <c r="AB148" s="25" t="str">
        <f t="shared" si="164"/>
        <v/>
      </c>
    </row>
    <row r="149" spans="27:28">
      <c r="AA149" s="25" t="str">
        <f t="shared" si="163"/>
        <v/>
      </c>
      <c r="AB149" s="25" t="str">
        <f t="shared" si="164"/>
        <v/>
      </c>
    </row>
    <row r="150" spans="27:28">
      <c r="AA150" s="25" t="str">
        <f t="shared" si="163"/>
        <v/>
      </c>
      <c r="AB150" s="25" t="str">
        <f t="shared" si="164"/>
        <v/>
      </c>
    </row>
    <row r="151" spans="27:28">
      <c r="AA151" s="25" t="str">
        <f t="shared" si="163"/>
        <v/>
      </c>
      <c r="AB151" s="25" t="str">
        <f t="shared" si="164"/>
        <v/>
      </c>
    </row>
    <row r="152" spans="27:28">
      <c r="AA152" s="25" t="str">
        <f t="shared" si="163"/>
        <v/>
      </c>
      <c r="AB152" s="25" t="str">
        <f t="shared" si="164"/>
        <v/>
      </c>
    </row>
    <row r="153" spans="27:28">
      <c r="AA153" s="25" t="str">
        <f t="shared" si="163"/>
        <v/>
      </c>
      <c r="AB153" s="25" t="str">
        <f t="shared" si="164"/>
        <v/>
      </c>
    </row>
    <row r="154" spans="27:28">
      <c r="AA154" s="25" t="str">
        <f t="shared" si="163"/>
        <v/>
      </c>
      <c r="AB154" s="25" t="str">
        <f t="shared" si="164"/>
        <v/>
      </c>
    </row>
    <row r="155" spans="27:28">
      <c r="AA155" s="25" t="str">
        <f t="shared" si="163"/>
        <v/>
      </c>
      <c r="AB155" s="25" t="str">
        <f t="shared" si="164"/>
        <v/>
      </c>
    </row>
    <row r="156" spans="27:28">
      <c r="AA156" s="25" t="str">
        <f t="shared" si="163"/>
        <v/>
      </c>
      <c r="AB156" s="25" t="str">
        <f t="shared" si="164"/>
        <v/>
      </c>
    </row>
    <row r="157" spans="27:28">
      <c r="AA157" s="25" t="str">
        <f t="shared" si="163"/>
        <v/>
      </c>
      <c r="AB157" s="25" t="str">
        <f t="shared" si="164"/>
        <v/>
      </c>
    </row>
    <row r="158" spans="27:28">
      <c r="AA158" s="25" t="str">
        <f t="shared" si="163"/>
        <v/>
      </c>
      <c r="AB158" s="25" t="str">
        <f t="shared" si="164"/>
        <v/>
      </c>
    </row>
    <row r="159" spans="27:28">
      <c r="AA159" s="25" t="str">
        <f t="shared" si="163"/>
        <v/>
      </c>
      <c r="AB159" s="25" t="str">
        <f t="shared" si="164"/>
        <v/>
      </c>
    </row>
    <row r="160" spans="27:28">
      <c r="AA160" s="25" t="str">
        <f t="shared" si="163"/>
        <v/>
      </c>
      <c r="AB160" s="25" t="str">
        <f t="shared" si="164"/>
        <v/>
      </c>
    </row>
    <row r="161" spans="27:28">
      <c r="AA161" s="25" t="str">
        <f t="shared" si="163"/>
        <v/>
      </c>
      <c r="AB161" s="25" t="str">
        <f t="shared" si="164"/>
        <v/>
      </c>
    </row>
    <row r="162" spans="27:28">
      <c r="AA162" s="25" t="str">
        <f t="shared" si="163"/>
        <v/>
      </c>
      <c r="AB162" s="25" t="str">
        <f t="shared" si="164"/>
        <v/>
      </c>
    </row>
    <row r="163" spans="27:28">
      <c r="AA163" s="25" t="str">
        <f t="shared" si="163"/>
        <v/>
      </c>
      <c r="AB163" s="25" t="str">
        <f t="shared" si="164"/>
        <v/>
      </c>
    </row>
    <row r="164" spans="27:28">
      <c r="AA164" s="25" t="str">
        <f t="shared" si="163"/>
        <v/>
      </c>
      <c r="AB164" s="25" t="str">
        <f t="shared" si="164"/>
        <v/>
      </c>
    </row>
    <row r="165" spans="27:28">
      <c r="AA165" s="25" t="str">
        <f t="shared" si="163"/>
        <v/>
      </c>
      <c r="AB165" s="25" t="str">
        <f t="shared" si="164"/>
        <v/>
      </c>
    </row>
    <row r="166" spans="27:28">
      <c r="AA166" s="25" t="str">
        <f t="shared" si="163"/>
        <v/>
      </c>
      <c r="AB166" s="25" t="str">
        <f t="shared" si="164"/>
        <v/>
      </c>
    </row>
    <row r="167" spans="27:28">
      <c r="AA167" s="25" t="str">
        <f t="shared" ref="AA167:AA195" si="165">IF(E75&lt;&gt;"","Insert Into CR_MAC([CorpID],[MAC])","")</f>
        <v/>
      </c>
      <c r="AB167" s="25" t="str">
        <f t="shared" ref="AB167:AB195" si="166">IF(E75&lt;&gt;"","VALUES ('"&amp;$E$6&amp;"', '"&amp;E75&amp;"');","")</f>
        <v/>
      </c>
    </row>
    <row r="168" spans="27:28">
      <c r="AA168" s="25" t="str">
        <f t="shared" si="165"/>
        <v/>
      </c>
      <c r="AB168" s="25" t="str">
        <f t="shared" si="166"/>
        <v/>
      </c>
    </row>
    <row r="169" spans="27:28">
      <c r="AA169" s="25" t="str">
        <f t="shared" si="165"/>
        <v/>
      </c>
      <c r="AB169" s="25" t="str">
        <f t="shared" si="166"/>
        <v/>
      </c>
    </row>
    <row r="170" spans="27:28">
      <c r="AA170" s="25" t="str">
        <f t="shared" si="165"/>
        <v/>
      </c>
      <c r="AB170" s="25" t="str">
        <f t="shared" si="166"/>
        <v/>
      </c>
    </row>
    <row r="171" spans="27:28">
      <c r="AA171" s="25" t="str">
        <f t="shared" si="165"/>
        <v/>
      </c>
      <c r="AB171" s="25" t="str">
        <f t="shared" si="166"/>
        <v/>
      </c>
    </row>
    <row r="172" spans="27:28">
      <c r="AA172" s="25" t="str">
        <f t="shared" si="165"/>
        <v/>
      </c>
      <c r="AB172" s="25" t="str">
        <f t="shared" si="166"/>
        <v/>
      </c>
    </row>
    <row r="173" spans="27:28">
      <c r="AA173" s="25" t="str">
        <f t="shared" si="165"/>
        <v/>
      </c>
      <c r="AB173" s="25" t="str">
        <f t="shared" si="166"/>
        <v/>
      </c>
    </row>
    <row r="174" spans="27:28">
      <c r="AA174" s="25" t="str">
        <f t="shared" si="165"/>
        <v/>
      </c>
      <c r="AB174" s="25" t="str">
        <f t="shared" si="166"/>
        <v/>
      </c>
    </row>
    <row r="175" spans="27:28">
      <c r="AA175" s="25" t="str">
        <f t="shared" si="165"/>
        <v/>
      </c>
      <c r="AB175" s="25" t="str">
        <f t="shared" si="166"/>
        <v/>
      </c>
    </row>
    <row r="176" spans="27:28">
      <c r="AA176" s="25" t="str">
        <f t="shared" si="165"/>
        <v/>
      </c>
      <c r="AB176" s="25" t="str">
        <f t="shared" si="166"/>
        <v/>
      </c>
    </row>
    <row r="177" spans="27:28">
      <c r="AA177" s="25" t="str">
        <f t="shared" si="165"/>
        <v/>
      </c>
      <c r="AB177" s="25" t="str">
        <f t="shared" si="166"/>
        <v/>
      </c>
    </row>
    <row r="178" spans="27:28">
      <c r="AA178" s="25" t="str">
        <f t="shared" si="165"/>
        <v/>
      </c>
      <c r="AB178" s="25" t="str">
        <f t="shared" si="166"/>
        <v/>
      </c>
    </row>
    <row r="179" spans="27:28">
      <c r="AA179" s="25" t="str">
        <f t="shared" si="165"/>
        <v/>
      </c>
      <c r="AB179" s="25" t="str">
        <f t="shared" si="166"/>
        <v/>
      </c>
    </row>
    <row r="180" spans="27:28">
      <c r="AA180" s="25" t="str">
        <f t="shared" si="165"/>
        <v/>
      </c>
      <c r="AB180" s="25" t="str">
        <f t="shared" si="166"/>
        <v/>
      </c>
    </row>
    <row r="181" spans="27:28">
      <c r="AA181" s="25" t="str">
        <f t="shared" si="165"/>
        <v/>
      </c>
      <c r="AB181" s="25" t="str">
        <f t="shared" si="166"/>
        <v/>
      </c>
    </row>
    <row r="182" spans="27:28">
      <c r="AA182" s="25" t="str">
        <f t="shared" si="165"/>
        <v/>
      </c>
      <c r="AB182" s="25" t="str">
        <f t="shared" si="166"/>
        <v/>
      </c>
    </row>
    <row r="183" spans="27:28">
      <c r="AA183" s="25" t="str">
        <f t="shared" si="165"/>
        <v/>
      </c>
      <c r="AB183" s="25" t="str">
        <f t="shared" si="166"/>
        <v/>
      </c>
    </row>
    <row r="184" spans="27:28">
      <c r="AA184" s="25" t="str">
        <f t="shared" si="165"/>
        <v/>
      </c>
      <c r="AB184" s="25" t="str">
        <f t="shared" si="166"/>
        <v/>
      </c>
    </row>
    <row r="185" spans="27:28">
      <c r="AA185" s="25" t="str">
        <f t="shared" si="165"/>
        <v/>
      </c>
      <c r="AB185" s="25" t="str">
        <f t="shared" si="166"/>
        <v/>
      </c>
    </row>
    <row r="186" spans="27:28">
      <c r="AA186" s="25" t="str">
        <f t="shared" si="165"/>
        <v/>
      </c>
      <c r="AB186" s="25" t="str">
        <f t="shared" si="166"/>
        <v/>
      </c>
    </row>
    <row r="187" spans="27:28">
      <c r="AA187" s="25" t="str">
        <f t="shared" si="165"/>
        <v/>
      </c>
      <c r="AB187" s="25" t="str">
        <f t="shared" si="166"/>
        <v/>
      </c>
    </row>
    <row r="188" spans="27:28">
      <c r="AA188" s="25" t="str">
        <f t="shared" si="165"/>
        <v/>
      </c>
      <c r="AB188" s="25" t="str">
        <f t="shared" si="166"/>
        <v/>
      </c>
    </row>
    <row r="189" spans="27:28">
      <c r="AA189" s="25" t="str">
        <f t="shared" si="165"/>
        <v/>
      </c>
      <c r="AB189" s="25" t="str">
        <f t="shared" si="166"/>
        <v/>
      </c>
    </row>
    <row r="190" spans="27:28">
      <c r="AA190" s="25" t="str">
        <f t="shared" si="165"/>
        <v/>
      </c>
      <c r="AB190" s="25" t="str">
        <f t="shared" si="166"/>
        <v/>
      </c>
    </row>
    <row r="191" spans="27:28">
      <c r="AA191" s="25" t="str">
        <f t="shared" si="165"/>
        <v/>
      </c>
      <c r="AB191" s="25" t="str">
        <f t="shared" si="166"/>
        <v/>
      </c>
    </row>
    <row r="192" spans="27:28">
      <c r="AA192" s="25" t="str">
        <f t="shared" si="165"/>
        <v/>
      </c>
      <c r="AB192" s="25" t="str">
        <f t="shared" si="166"/>
        <v/>
      </c>
    </row>
    <row r="193" spans="27:28">
      <c r="AA193" s="25" t="str">
        <f t="shared" si="165"/>
        <v/>
      </c>
      <c r="AB193" s="25" t="str">
        <f t="shared" si="166"/>
        <v/>
      </c>
    </row>
    <row r="194" spans="27:28">
      <c r="AA194" s="25" t="str">
        <f t="shared" si="165"/>
        <v/>
      </c>
      <c r="AB194" s="25" t="str">
        <f t="shared" si="166"/>
        <v/>
      </c>
    </row>
    <row r="195" spans="27:28">
      <c r="AA195" s="25" t="str">
        <f t="shared" si="165"/>
        <v/>
      </c>
      <c r="AB195" s="25" t="str">
        <f t="shared" si="166"/>
        <v/>
      </c>
    </row>
  </sheetData>
  <dataValidations count="7">
    <dataValidation type="list" allowBlank="1" showInputMessage="1" showErrorMessage="1" sqref="J7 J9">
      <formula1>"yes,no"</formula1>
    </dataValidation>
    <dataValidation type="list" allowBlank="1" showInputMessage="1" showErrorMessage="1" sqref="J8 J5">
      <formula1>"cycle,red,green,blue,magenta,yellow,cyan,white"</formula1>
    </dataValidation>
    <dataValidation type="whole" allowBlank="1" showInputMessage="1" showErrorMessage="1" sqref="E6">
      <formula1>1000</formula1>
      <formula2>9999</formula2>
    </dataValidation>
    <dataValidation type="whole" allowBlank="1" showInputMessage="1" showErrorMessage="1" sqref="D6">
      <formula1>1</formula1>
      <formula2>9999</formula2>
    </dataValidation>
    <dataValidation type="list" allowBlank="1" showInputMessage="1" showErrorMessage="1" sqref="F11:F100">
      <formula1>"r, v, c, m"</formula1>
    </dataValidation>
    <dataValidation type="textLength" allowBlank="1" showInputMessage="1" showErrorMessage="1" sqref="E11:E100">
      <formula1>12</formula1>
      <formula2>12</formula2>
    </dataValidation>
    <dataValidation type="custom" allowBlank="1" showInputMessage="1" showErrorMessage="1" error="Description must only contain alpha-numeric characters." sqref="D11:D100">
      <formula1>ISNUMBER(SUMPRODUCT(SEARCH(MID(D11,ROW(INDIRECT("1:"&amp;LEN(D11))),1),"0123456789abcdefghijklmnopqrstuvwxyzABCDEFGHIJKLMNOPQRSTUVWXYZ ")))</formula1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Readers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 Colby</dc:creator>
  <cp:lastModifiedBy>Homestar</cp:lastModifiedBy>
  <dcterms:created xsi:type="dcterms:W3CDTF">2024-03-07T05:30:17Z</dcterms:created>
  <dcterms:modified xsi:type="dcterms:W3CDTF">2024-04-02T21:06:12Z</dcterms:modified>
</cp:coreProperties>
</file>